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20" yWindow="-120" windowWidth="24120" windowHeight="13140" tabRatio="701"/>
  </bookViews>
  <sheets>
    <sheet name="Supplem.Table 1" sheetId="21" r:id="rId1"/>
    <sheet name="Supplem.Table 2" sheetId="22" r:id="rId2"/>
    <sheet name="Supplem.Table 3" sheetId="11" r:id="rId3"/>
    <sheet name="Supplem.Table 4" sheetId="14" r:id="rId4"/>
    <sheet name="Supplem.Table 5" sheetId="15" r:id="rId5"/>
    <sheet name="Supplem.Table 6" sheetId="16" r:id="rId6"/>
    <sheet name="Supplem.Table 7" sheetId="17" r:id="rId7"/>
    <sheet name="Supplem.Table 8" sheetId="10" r:id="rId8"/>
    <sheet name="Supplem.Table 9" sheetId="4" r:id="rId9"/>
    <sheet name="Supplem.Table 10" sheetId="19" r:id="rId10"/>
    <sheet name="Supplem.Table 11" sheetId="1" r:id="rId11"/>
    <sheet name="Supplem.Table 12" sheetId="2" r:id="rId12"/>
    <sheet name="Supplem.Table 13" sheetId="3" r:id="rId13"/>
    <sheet name="Supplem.Table 14" sheetId="5" r:id="rId14"/>
    <sheet name="Supplem.Table 15" sheetId="6" r:id="rId15"/>
    <sheet name="Supplem.Table 16" sheetId="7" r:id="rId16"/>
    <sheet name="Supplem.Table 17" sheetId="8" r:id="rId17"/>
    <sheet name="Supplem.Table 18" sheetId="9" r:id="rId18"/>
    <sheet name="Supplem.Table 19" sheetId="12" r:id="rId19"/>
    <sheet name="Supplem.Table 20" sheetId="13" r:id="rId20"/>
  </sheets>
  <definedNames>
    <definedName name="OLE_LINK1" localSheetId="18">'Supplem.Table 19'!$B$2</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3" i="17" l="1"/>
  <c r="C3" i="17"/>
  <c r="D3" i="17"/>
  <c r="E3" i="17"/>
  <c r="F3" i="17"/>
  <c r="G3" i="17"/>
  <c r="H3" i="17"/>
  <c r="I3" i="17"/>
  <c r="J3" i="17"/>
  <c r="K3" i="17"/>
  <c r="L3" i="17"/>
  <c r="M3" i="17"/>
  <c r="N3" i="17"/>
  <c r="O3" i="17"/>
  <c r="B4" i="17"/>
  <c r="C4" i="17"/>
  <c r="D4" i="17"/>
  <c r="E4" i="17"/>
  <c r="F4" i="17"/>
  <c r="G4" i="17"/>
  <c r="H4" i="17"/>
  <c r="I4" i="17"/>
  <c r="J4" i="17"/>
  <c r="K4" i="17"/>
  <c r="L4" i="17"/>
  <c r="M4" i="17"/>
  <c r="N4" i="17"/>
  <c r="O4" i="17"/>
  <c r="B5" i="17"/>
  <c r="C5" i="17"/>
  <c r="D5" i="17"/>
  <c r="E5" i="17"/>
  <c r="F5" i="17"/>
  <c r="G5" i="17"/>
  <c r="H5" i="17"/>
  <c r="I5" i="17"/>
  <c r="J5" i="17"/>
  <c r="K5" i="17"/>
  <c r="L5" i="17"/>
  <c r="M5" i="17"/>
  <c r="N5" i="17"/>
  <c r="O5" i="17"/>
  <c r="B6" i="17"/>
  <c r="C6" i="17"/>
  <c r="D6" i="17"/>
  <c r="E6" i="17"/>
  <c r="F6" i="17"/>
  <c r="G6" i="17"/>
  <c r="H6" i="17"/>
  <c r="I6" i="17"/>
  <c r="J6" i="17"/>
  <c r="K6" i="17"/>
  <c r="L6" i="17"/>
  <c r="M6" i="17"/>
  <c r="N6" i="17"/>
  <c r="O6" i="17"/>
  <c r="B7" i="17"/>
  <c r="C7" i="17"/>
  <c r="D7" i="17"/>
  <c r="E7" i="17"/>
  <c r="F7" i="17"/>
  <c r="G7" i="17"/>
  <c r="H7" i="17"/>
  <c r="I7" i="17"/>
  <c r="J7" i="17"/>
  <c r="K7" i="17"/>
  <c r="L7" i="17"/>
  <c r="M7" i="17"/>
  <c r="N7" i="17"/>
  <c r="O7" i="17"/>
  <c r="B8" i="17"/>
  <c r="C8" i="17"/>
  <c r="D8" i="17"/>
  <c r="E8" i="17"/>
  <c r="F8" i="17"/>
  <c r="G8" i="17"/>
  <c r="H8" i="17"/>
  <c r="I8" i="17"/>
  <c r="J8" i="17"/>
  <c r="K8" i="17"/>
  <c r="L8" i="17"/>
  <c r="M8" i="17"/>
  <c r="N8" i="17"/>
  <c r="O8" i="17"/>
  <c r="C2" i="17"/>
  <c r="D2" i="17"/>
  <c r="E2" i="17"/>
  <c r="F2" i="17"/>
  <c r="G2" i="17"/>
  <c r="H2" i="17"/>
  <c r="I2" i="17"/>
  <c r="J2" i="17"/>
  <c r="K2" i="17"/>
  <c r="L2" i="17"/>
  <c r="M2" i="17"/>
  <c r="N2" i="17"/>
  <c r="O2" i="17"/>
  <c r="B2" i="17"/>
</calcChain>
</file>

<file path=xl/sharedStrings.xml><?xml version="1.0" encoding="utf-8"?>
<sst xmlns="http://schemas.openxmlformats.org/spreadsheetml/2006/main" count="3794" uniqueCount="1047">
  <si>
    <t>Functional Unit</t>
  </si>
  <si>
    <t>P-fertilizer bioav.</t>
  </si>
  <si>
    <t xml:space="preserve">kg P </t>
  </si>
  <si>
    <t>Inputs</t>
  </si>
  <si>
    <t>Input-feedstock</t>
  </si>
  <si>
    <t>kg ww</t>
  </si>
  <si>
    <t>Input-P</t>
  </si>
  <si>
    <t>Electricity</t>
  </si>
  <si>
    <t>kWh</t>
  </si>
  <si>
    <t>Outputs</t>
  </si>
  <si>
    <t>P (other flows)</t>
  </si>
  <si>
    <t>N</t>
  </si>
  <si>
    <t>kg N</t>
  </si>
  <si>
    <t>K</t>
  </si>
  <si>
    <t>kg K</t>
  </si>
  <si>
    <t>C</t>
  </si>
  <si>
    <t>kg C</t>
  </si>
  <si>
    <t>Waste</t>
  </si>
  <si>
    <t>kg TS</t>
  </si>
  <si>
    <t>Avoided products</t>
  </si>
  <si>
    <t>P (mineral)</t>
  </si>
  <si>
    <t>N (mineral)</t>
  </si>
  <si>
    <t>K (mineral)</t>
  </si>
  <si>
    <t>Peat</t>
  </si>
  <si>
    <r>
      <t>Input-feedstock</t>
    </r>
    <r>
      <rPr>
        <sz val="8"/>
        <color theme="1"/>
        <rFont val="Times New Roman"/>
        <family val="1"/>
      </rPr>
      <t> </t>
    </r>
  </si>
  <si>
    <t>Input (kg)</t>
  </si>
  <si>
    <t>P-fertiliser</t>
  </si>
  <si>
    <t>Air</t>
  </si>
  <si>
    <t>TS</t>
  </si>
  <si>
    <t>P</t>
  </si>
  <si>
    <t>As</t>
  </si>
  <si>
    <t>Hg</t>
  </si>
  <si>
    <t>Cd</t>
  </si>
  <si>
    <t>Cr</t>
  </si>
  <si>
    <t>Cu</t>
  </si>
  <si>
    <t>Ni</t>
  </si>
  <si>
    <t>Pb</t>
  </si>
  <si>
    <t>Zn</t>
  </si>
  <si>
    <t>OFM</t>
  </si>
  <si>
    <t>Property</t>
  </si>
  <si>
    <t>Unit</t>
  </si>
  <si>
    <t xml:space="preserve">SEW </t>
  </si>
  <si>
    <t>(thick)</t>
  </si>
  <si>
    <t>(dg dw)</t>
  </si>
  <si>
    <t xml:space="preserve">POM </t>
  </si>
  <si>
    <t>(raw)</t>
  </si>
  <si>
    <t xml:space="preserve">MBM </t>
  </si>
  <si>
    <t xml:space="preserve">PIM </t>
  </si>
  <si>
    <t>(dw)</t>
  </si>
  <si>
    <t>(cp)</t>
  </si>
  <si>
    <t>Water</t>
  </si>
  <si>
    <t>%ww</t>
  </si>
  <si>
    <t>VS</t>
  </si>
  <si>
    <t>%TS</t>
  </si>
  <si>
    <t>Ash</t>
  </si>
  <si>
    <r>
      <t>LHV</t>
    </r>
    <r>
      <rPr>
        <vertAlign val="subscript"/>
        <sz val="10"/>
        <color rgb="FF000000"/>
        <rFont val="Times New Roman"/>
        <family val="1"/>
      </rPr>
      <t>db</t>
    </r>
    <r>
      <rPr>
        <sz val="10"/>
        <color rgb="FF000000"/>
        <rFont val="Times New Roman"/>
        <family val="1"/>
      </rPr>
      <t xml:space="preserve"> </t>
    </r>
  </si>
  <si>
    <r>
      <t>MJ kg</t>
    </r>
    <r>
      <rPr>
        <vertAlign val="superscript"/>
        <sz val="10"/>
        <color rgb="FF000000"/>
        <rFont val="Times New Roman"/>
        <family val="1"/>
      </rPr>
      <t xml:space="preserve">-1 </t>
    </r>
    <r>
      <rPr>
        <sz val="10"/>
        <color rgb="FF000000"/>
        <rFont val="Times New Roman"/>
        <family val="1"/>
      </rPr>
      <t>TS</t>
    </r>
  </si>
  <si>
    <r>
      <t>LHV</t>
    </r>
    <r>
      <rPr>
        <vertAlign val="subscript"/>
        <sz val="10"/>
        <color rgb="FF000000"/>
        <rFont val="Times New Roman"/>
        <family val="1"/>
      </rPr>
      <t>wb</t>
    </r>
    <r>
      <rPr>
        <sz val="10"/>
        <color rgb="FF000000"/>
        <rFont val="Times New Roman"/>
        <family val="1"/>
      </rPr>
      <t xml:space="preserve"> </t>
    </r>
  </si>
  <si>
    <r>
      <t>MJ kg</t>
    </r>
    <r>
      <rPr>
        <vertAlign val="superscript"/>
        <sz val="10"/>
        <color rgb="FF000000"/>
        <rFont val="Times New Roman"/>
        <family val="1"/>
      </rPr>
      <t xml:space="preserve">-1 </t>
    </r>
    <r>
      <rPr>
        <sz val="10"/>
        <color rgb="FF000000"/>
        <rFont val="Times New Roman"/>
        <family val="1"/>
      </rPr>
      <t>ww</t>
    </r>
  </si>
  <si>
    <r>
      <t>CH</t>
    </r>
    <r>
      <rPr>
        <vertAlign val="subscript"/>
        <sz val="10"/>
        <color rgb="FF000000"/>
        <rFont val="Times New Roman"/>
        <family val="1"/>
      </rPr>
      <t>4</t>
    </r>
    <r>
      <rPr>
        <sz val="10"/>
        <color rgb="FF000000"/>
        <rFont val="Times New Roman"/>
        <family val="1"/>
      </rPr>
      <t xml:space="preserve"> </t>
    </r>
    <r>
      <rPr>
        <vertAlign val="subscript"/>
        <sz val="10"/>
        <color rgb="FF000000"/>
        <rFont val="Times New Roman"/>
        <family val="1"/>
      </rPr>
      <t>pot</t>
    </r>
  </si>
  <si>
    <r>
      <t>NL kg</t>
    </r>
    <r>
      <rPr>
        <vertAlign val="superscript"/>
        <sz val="10"/>
        <color rgb="FF000000"/>
        <rFont val="Times New Roman"/>
        <family val="1"/>
      </rPr>
      <t xml:space="preserve">-1 </t>
    </r>
    <r>
      <rPr>
        <sz val="10"/>
        <color rgb="FF000000"/>
        <rFont val="Times New Roman"/>
        <family val="1"/>
      </rPr>
      <t>VS</t>
    </r>
  </si>
  <si>
    <t>nr</t>
  </si>
  <si>
    <t xml:space="preserve">C </t>
  </si>
  <si>
    <t xml:space="preserve">MO-INC </t>
  </si>
  <si>
    <t>SEW</t>
  </si>
  <si>
    <t xml:space="preserve">MO-PYR </t>
  </si>
  <si>
    <t>PIM</t>
  </si>
  <si>
    <t>Capacity</t>
  </si>
  <si>
    <t>Annual usage rate</t>
  </si>
  <si>
    <r>
      <t>t a</t>
    </r>
    <r>
      <rPr>
        <vertAlign val="superscript"/>
        <sz val="10"/>
        <color rgb="FF000000"/>
        <rFont val="Times New Roman"/>
        <family val="1"/>
      </rPr>
      <t>-1</t>
    </r>
  </si>
  <si>
    <t>Life time</t>
  </si>
  <si>
    <t>a</t>
  </si>
  <si>
    <t>Feedstock-type</t>
  </si>
  <si>
    <t xml:space="preserve"> (dg dw)</t>
  </si>
  <si>
    <t>Feedstock-quantity</t>
  </si>
  <si>
    <t>t</t>
  </si>
  <si>
    <t>Feedstock-energy</t>
  </si>
  <si>
    <t>MJ</t>
  </si>
  <si>
    <t>Activated carbon</t>
  </si>
  <si>
    <r>
      <t>kg t</t>
    </r>
    <r>
      <rPr>
        <vertAlign val="superscript"/>
        <sz val="10"/>
        <color rgb="FF000000"/>
        <rFont val="Times New Roman"/>
        <family val="1"/>
      </rPr>
      <t>-1</t>
    </r>
  </si>
  <si>
    <r>
      <t>CaOH</t>
    </r>
    <r>
      <rPr>
        <vertAlign val="subscript"/>
        <sz val="10"/>
        <color rgb="FF000000"/>
        <rFont val="Times New Roman"/>
        <family val="1"/>
      </rPr>
      <t>2</t>
    </r>
  </si>
  <si>
    <r>
      <t>CaCO</t>
    </r>
    <r>
      <rPr>
        <vertAlign val="subscript"/>
        <sz val="10"/>
        <color rgb="FF000000"/>
        <rFont val="Times New Roman"/>
        <family val="1"/>
      </rPr>
      <t>3</t>
    </r>
  </si>
  <si>
    <r>
      <t>CaO</t>
    </r>
    <r>
      <rPr>
        <vertAlign val="subscript"/>
        <sz val="10"/>
        <color rgb="FF000000"/>
        <rFont val="Times New Roman"/>
        <family val="1"/>
      </rPr>
      <t>3</t>
    </r>
  </si>
  <si>
    <t>Diesel</t>
  </si>
  <si>
    <r>
      <t>kWh t</t>
    </r>
    <r>
      <rPr>
        <vertAlign val="superscript"/>
        <sz val="10"/>
        <color rgb="FF000000"/>
        <rFont val="Times New Roman"/>
        <family val="1"/>
      </rPr>
      <t>-1</t>
    </r>
  </si>
  <si>
    <r>
      <t>H</t>
    </r>
    <r>
      <rPr>
        <vertAlign val="subscript"/>
        <sz val="10"/>
        <color rgb="FF000000"/>
        <rFont val="Times New Roman"/>
        <family val="1"/>
      </rPr>
      <t>2</t>
    </r>
    <r>
      <rPr>
        <sz val="10"/>
        <color rgb="FF000000"/>
        <rFont val="Times New Roman"/>
        <family val="1"/>
      </rPr>
      <t>SO</t>
    </r>
    <r>
      <rPr>
        <vertAlign val="subscript"/>
        <sz val="10"/>
        <color rgb="FF000000"/>
        <rFont val="Times New Roman"/>
        <family val="1"/>
      </rPr>
      <t>4</t>
    </r>
  </si>
  <si>
    <t>HCl</t>
  </si>
  <si>
    <t>Heavy fuel oil</t>
  </si>
  <si>
    <r>
      <t>MJ t</t>
    </r>
    <r>
      <rPr>
        <vertAlign val="superscript"/>
        <sz val="10"/>
        <color rgb="FF000000"/>
        <rFont val="Times New Roman"/>
        <family val="1"/>
      </rPr>
      <t>-1</t>
    </r>
  </si>
  <si>
    <t>Lubricant oil</t>
  </si>
  <si>
    <t>NaCl</t>
  </si>
  <si>
    <t>NaOH</t>
  </si>
  <si>
    <t>Natural gas</t>
  </si>
  <si>
    <r>
      <t>NH</t>
    </r>
    <r>
      <rPr>
        <vertAlign val="subscript"/>
        <sz val="10"/>
        <color rgb="FF000000"/>
        <rFont val="Times New Roman"/>
        <family val="1"/>
      </rPr>
      <t>3</t>
    </r>
    <r>
      <rPr>
        <sz val="10"/>
        <color rgb="FF000000"/>
        <rFont val="Times New Roman"/>
        <family val="1"/>
      </rPr>
      <t xml:space="preserve"> 25%</t>
    </r>
  </si>
  <si>
    <t>Silica</t>
  </si>
  <si>
    <t>Labour</t>
  </si>
  <si>
    <r>
      <t>manh t</t>
    </r>
    <r>
      <rPr>
        <vertAlign val="superscript"/>
        <sz val="10"/>
        <color rgb="FF000000"/>
        <rFont val="Times New Roman"/>
        <family val="1"/>
      </rPr>
      <t>-1</t>
    </r>
  </si>
  <si>
    <t>Ashes</t>
  </si>
  <si>
    <t xml:space="preserve">Electricity </t>
  </si>
  <si>
    <r>
      <t>67</t>
    </r>
    <r>
      <rPr>
        <vertAlign val="superscript"/>
        <sz val="10"/>
        <color rgb="FF000000"/>
        <rFont val="Times New Roman"/>
        <family val="1"/>
      </rPr>
      <t>α</t>
    </r>
  </si>
  <si>
    <r>
      <t>613</t>
    </r>
    <r>
      <rPr>
        <vertAlign val="superscript"/>
        <sz val="10"/>
        <color rgb="FF000000"/>
        <rFont val="Times New Roman"/>
        <family val="1"/>
      </rPr>
      <t>β</t>
    </r>
  </si>
  <si>
    <r>
      <t>379</t>
    </r>
    <r>
      <rPr>
        <vertAlign val="superscript"/>
        <sz val="10"/>
        <color rgb="FF000000"/>
        <rFont val="Times New Roman"/>
        <family val="1"/>
      </rPr>
      <t>γ</t>
    </r>
  </si>
  <si>
    <r>
      <t>0</t>
    </r>
    <r>
      <rPr>
        <vertAlign val="superscript"/>
        <sz val="10"/>
        <color rgb="FF000000"/>
        <rFont val="Times New Roman"/>
        <family val="1"/>
      </rPr>
      <t>δ</t>
    </r>
  </si>
  <si>
    <r>
      <t>67</t>
    </r>
    <r>
      <rPr>
        <vertAlign val="superscript"/>
        <sz val="10"/>
        <color rgb="FF000000"/>
        <rFont val="Times New Roman"/>
        <family val="1"/>
      </rPr>
      <t>ε</t>
    </r>
  </si>
  <si>
    <t>Air emissions</t>
  </si>
  <si>
    <t>CO</t>
  </si>
  <si>
    <r>
      <t>CO</t>
    </r>
    <r>
      <rPr>
        <vertAlign val="subscript"/>
        <sz val="10"/>
        <color rgb="FF000000"/>
        <rFont val="Times New Roman"/>
        <family val="1"/>
      </rPr>
      <t>2 biogenic</t>
    </r>
  </si>
  <si>
    <t>Dioxins</t>
  </si>
  <si>
    <t>Dust</t>
  </si>
  <si>
    <t xml:space="preserve">HCl </t>
  </si>
  <si>
    <t xml:space="preserve">HF </t>
  </si>
  <si>
    <r>
      <t>N</t>
    </r>
    <r>
      <rPr>
        <vertAlign val="subscript"/>
        <sz val="10"/>
        <color rgb="FF000000"/>
        <rFont val="Times New Roman"/>
        <family val="1"/>
      </rPr>
      <t>2</t>
    </r>
    <r>
      <rPr>
        <sz val="10"/>
        <color rgb="FF000000"/>
        <rFont val="Times New Roman"/>
        <family val="1"/>
      </rPr>
      <t xml:space="preserve">O </t>
    </r>
  </si>
  <si>
    <r>
      <t>NH</t>
    </r>
    <r>
      <rPr>
        <vertAlign val="subscript"/>
        <sz val="10"/>
        <color rgb="FF000000"/>
        <rFont val="Times New Roman"/>
        <family val="1"/>
      </rPr>
      <t>3</t>
    </r>
  </si>
  <si>
    <t>NOx</t>
  </si>
  <si>
    <t>SOx</t>
  </si>
  <si>
    <t>Fixed costs</t>
  </si>
  <si>
    <t>CAPEX</t>
  </si>
  <si>
    <t>€</t>
  </si>
  <si>
    <t>Insurance</t>
  </si>
  <si>
    <t>%CAPEX</t>
  </si>
  <si>
    <t>Maintenance</t>
  </si>
  <si>
    <t>Fixed costs (per t)</t>
  </si>
  <si>
    <r>
      <t>CAPEX</t>
    </r>
    <r>
      <rPr>
        <vertAlign val="superscript"/>
        <sz val="10"/>
        <color rgb="FF000000"/>
        <rFont val="Times New Roman"/>
        <family val="1"/>
      </rPr>
      <t>ζ</t>
    </r>
  </si>
  <si>
    <r>
      <t>€ t</t>
    </r>
    <r>
      <rPr>
        <vertAlign val="superscript"/>
        <sz val="10"/>
        <color rgb="FF000000"/>
        <rFont val="Times New Roman"/>
        <family val="1"/>
      </rPr>
      <t>-1</t>
    </r>
  </si>
  <si>
    <t>AD SEW (thick)</t>
  </si>
  <si>
    <t>AD PIM (dw)</t>
  </si>
  <si>
    <t xml:space="preserve">Annual usage rate </t>
  </si>
  <si>
    <t xml:space="preserve">Life time </t>
  </si>
  <si>
    <t>SEW (thick)</t>
  </si>
  <si>
    <t>PIM (dw)</t>
  </si>
  <si>
    <t xml:space="preserve">t </t>
  </si>
  <si>
    <r>
      <t>L t</t>
    </r>
    <r>
      <rPr>
        <vertAlign val="superscript"/>
        <sz val="10"/>
        <color rgb="FF000000"/>
        <rFont val="Times New Roman"/>
        <family val="1"/>
      </rPr>
      <t>-1</t>
    </r>
  </si>
  <si>
    <t>Heat</t>
  </si>
  <si>
    <r>
      <t>0</t>
    </r>
    <r>
      <rPr>
        <vertAlign val="superscript"/>
        <sz val="9"/>
        <color theme="1"/>
        <rFont val="Times New Roman"/>
        <family val="1"/>
      </rPr>
      <t>δ</t>
    </r>
  </si>
  <si>
    <r>
      <t>manh  t</t>
    </r>
    <r>
      <rPr>
        <vertAlign val="superscript"/>
        <sz val="10"/>
        <color rgb="FF000000"/>
        <rFont val="Times New Roman"/>
        <family val="1"/>
      </rPr>
      <t>-1</t>
    </r>
  </si>
  <si>
    <t>Digestate</t>
  </si>
  <si>
    <r>
      <t>kg TS t</t>
    </r>
    <r>
      <rPr>
        <vertAlign val="superscript"/>
        <sz val="10"/>
        <color rgb="FF000000"/>
        <rFont val="Times New Roman"/>
        <family val="1"/>
      </rPr>
      <t>-1</t>
    </r>
  </si>
  <si>
    <t>Biogas-Electricity</t>
  </si>
  <si>
    <r>
      <t>2.1</t>
    </r>
    <r>
      <rPr>
        <vertAlign val="superscript"/>
        <sz val="10"/>
        <color rgb="FF000000"/>
        <rFont val="Times New Roman"/>
        <family val="1"/>
      </rPr>
      <t>α</t>
    </r>
  </si>
  <si>
    <r>
      <t>59</t>
    </r>
    <r>
      <rPr>
        <vertAlign val="superscript"/>
        <sz val="10"/>
        <color rgb="FF000000"/>
        <rFont val="Times New Roman"/>
        <family val="1"/>
      </rPr>
      <t>γ</t>
    </r>
  </si>
  <si>
    <t>Air emissions (fugitive)</t>
  </si>
  <si>
    <r>
      <t>CH</t>
    </r>
    <r>
      <rPr>
        <vertAlign val="subscript"/>
        <sz val="10"/>
        <color rgb="FF000000"/>
        <rFont val="Times New Roman"/>
        <family val="1"/>
      </rPr>
      <t xml:space="preserve">4 </t>
    </r>
  </si>
  <si>
    <t xml:space="preserve">Air emissions </t>
  </si>
  <si>
    <r>
      <t>(gas-engine)</t>
    </r>
    <r>
      <rPr>
        <vertAlign val="superscript"/>
        <sz val="10"/>
        <color rgb="FF000000"/>
        <rFont val="Times New Roman"/>
        <family val="1"/>
      </rPr>
      <t>ε</t>
    </r>
  </si>
  <si>
    <r>
      <t>CH</t>
    </r>
    <r>
      <rPr>
        <vertAlign val="subscript"/>
        <sz val="10"/>
        <color rgb="FF000000"/>
        <rFont val="Times New Roman"/>
        <family val="1"/>
      </rPr>
      <t>4</t>
    </r>
  </si>
  <si>
    <r>
      <t>g MJ</t>
    </r>
    <r>
      <rPr>
        <vertAlign val="superscript"/>
        <sz val="10"/>
        <color rgb="FF000000"/>
        <rFont val="Times New Roman"/>
        <family val="1"/>
      </rPr>
      <t>-1</t>
    </r>
  </si>
  <si>
    <r>
      <t>N</t>
    </r>
    <r>
      <rPr>
        <vertAlign val="subscript"/>
        <sz val="10"/>
        <color rgb="FF000000"/>
        <rFont val="Times New Roman"/>
        <family val="1"/>
      </rPr>
      <t>2</t>
    </r>
    <r>
      <rPr>
        <sz val="10"/>
        <color rgb="FF000000"/>
        <rFont val="Times New Roman"/>
        <family val="1"/>
      </rPr>
      <t>O</t>
    </r>
  </si>
  <si>
    <r>
      <t>NO</t>
    </r>
    <r>
      <rPr>
        <vertAlign val="subscript"/>
        <sz val="10"/>
        <color rgb="FF000000"/>
        <rFont val="Times New Roman"/>
        <family val="1"/>
      </rPr>
      <t>x</t>
    </r>
  </si>
  <si>
    <r>
      <t>SO</t>
    </r>
    <r>
      <rPr>
        <vertAlign val="subscript"/>
        <sz val="10"/>
        <color rgb="FF000000"/>
        <rFont val="Times New Roman"/>
        <family val="1"/>
      </rPr>
      <t>x</t>
    </r>
  </si>
  <si>
    <r>
      <t>CAPEX</t>
    </r>
    <r>
      <rPr>
        <vertAlign val="superscript"/>
        <sz val="10"/>
        <color rgb="FF000000"/>
        <rFont val="Times New Roman"/>
        <family val="1"/>
      </rPr>
      <t>η</t>
    </r>
  </si>
  <si>
    <t>Wasstrip®- Ostara Pearl®</t>
  </si>
  <si>
    <t>Usage rate</t>
  </si>
  <si>
    <t>SEW (dg dw)</t>
  </si>
  <si>
    <t>Electricity aeration</t>
  </si>
  <si>
    <t>Polyelectrolyte</t>
  </si>
  <si>
    <t>P-precipitate</t>
  </si>
  <si>
    <r>
      <t>kg P t</t>
    </r>
    <r>
      <rPr>
        <vertAlign val="superscript"/>
        <sz val="10"/>
        <color rgb="FF000000"/>
        <rFont val="Times New Roman"/>
        <family val="1"/>
      </rPr>
      <t>-1</t>
    </r>
  </si>
  <si>
    <t>P-wastewater</t>
  </si>
  <si>
    <t xml:space="preserve">Usage rate </t>
  </si>
  <si>
    <t>Ash-P</t>
  </si>
  <si>
    <t>0 </t>
  </si>
  <si>
    <r>
      <t>NaSO</t>
    </r>
    <r>
      <rPr>
        <vertAlign val="subscript"/>
        <sz val="10"/>
        <color rgb="FF000000"/>
        <rFont val="Times New Roman"/>
        <family val="1"/>
      </rPr>
      <t>4</t>
    </r>
  </si>
  <si>
    <r>
      <t>CaCl</t>
    </r>
    <r>
      <rPr>
        <vertAlign val="subscript"/>
        <sz val="10"/>
        <color rgb="FF000000"/>
        <rFont val="Times New Roman"/>
        <family val="1"/>
      </rPr>
      <t>2</t>
    </r>
  </si>
  <si>
    <r>
      <t>FeCl</t>
    </r>
    <r>
      <rPr>
        <vertAlign val="subscript"/>
        <sz val="10"/>
        <color rgb="FF000000"/>
        <rFont val="Times New Roman"/>
        <family val="1"/>
      </rPr>
      <t>3</t>
    </r>
  </si>
  <si>
    <t>P (non-granulated)</t>
  </si>
  <si>
    <r>
      <t>120.1</t>
    </r>
    <r>
      <rPr>
        <vertAlign val="superscript"/>
        <sz val="10"/>
        <color rgb="FF000000"/>
        <rFont val="Times New Roman"/>
        <family val="1"/>
      </rPr>
      <t>α</t>
    </r>
  </si>
  <si>
    <t xml:space="preserve">Composting </t>
  </si>
  <si>
    <t>Compost</t>
  </si>
  <si>
    <t>Air emissions (biofilters)</t>
  </si>
  <si>
    <t>Carbon dioxide, non-fossil</t>
  </si>
  <si>
    <t>air</t>
  </si>
  <si>
    <t>Methane, non-fossil</t>
  </si>
  <si>
    <t>Nitrogen</t>
  </si>
  <si>
    <t>Ammonia</t>
  </si>
  <si>
    <t>Terpenes</t>
  </si>
  <si>
    <t>Hydrogen sulphide</t>
  </si>
  <si>
    <t>Dinitrogen monoxide</t>
  </si>
  <si>
    <r>
      <t>CAPEX</t>
    </r>
    <r>
      <rPr>
        <vertAlign val="superscript"/>
        <sz val="10"/>
        <color rgb="FF000000"/>
        <rFont val="Times New Roman"/>
        <family val="1"/>
      </rPr>
      <t>β</t>
    </r>
  </si>
  <si>
    <t>POM</t>
  </si>
  <si>
    <t>MBM</t>
  </si>
  <si>
    <t>MO-INC</t>
  </si>
  <si>
    <t>CO-INC</t>
  </si>
  <si>
    <t xml:space="preserve"> SEW</t>
  </si>
  <si>
    <t xml:space="preserve">α Corresponding to a methane production of 4.13 Nm3 CH4 (157 MJ). </t>
  </si>
  <si>
    <t xml:space="preserve">β Corresponding to a methane production of 0.84 Nm3 CH4 (32 MJ). </t>
  </si>
  <si>
    <t xml:space="preserve">γ Corresponding to a methane production of 3.23 Nm3 CH4 (123 MJ). </t>
  </si>
  <si>
    <t xml:space="preserve">δ It is assumed that the waste-heat from the gas engine is reused internally to heat the reactor (no external heat source required). </t>
  </si>
  <si>
    <t xml:space="preserve">α Does not require granulation. </t>
  </si>
  <si>
    <t>Bio-available P fraction of concentrated P-fertiliser (% of total P)</t>
  </si>
  <si>
    <t>P-recovery in concentrated P-fertiliser (% of P in input material)*</t>
  </si>
  <si>
    <t>1 kg bio-available P in a concentrated P-fertiliser</t>
  </si>
  <si>
    <t>undigested sewage sludge (5% DM)</t>
  </si>
  <si>
    <t>struvite</t>
  </si>
  <si>
    <t>raw poultry litter (48% DM)</t>
  </si>
  <si>
    <t>poultry litter ash</t>
  </si>
  <si>
    <t>AshDec® rhenanite-like substance</t>
  </si>
  <si>
    <t>phosphoric acid</t>
  </si>
  <si>
    <t>meat-and-bone meal (97% DM)</t>
  </si>
  <si>
    <t>single superphosphate-like material</t>
  </si>
  <si>
    <t>raw pig manure (slurry, 5% DM)</t>
  </si>
  <si>
    <t>pyrolysis material</t>
  </si>
  <si>
    <t>rock phosphate (100% DM)</t>
  </si>
  <si>
    <t>single superphosphate</t>
  </si>
  <si>
    <t>*physical P-losses and spills are assumed to be zero across all pathways</t>
  </si>
  <si>
    <t>Process</t>
  </si>
  <si>
    <t>Sub-process</t>
  </si>
  <si>
    <t>Parameter name</t>
  </si>
  <si>
    <t>Description</t>
  </si>
  <si>
    <t>Distribution</t>
  </si>
  <si>
    <t>Feedstock Composition</t>
  </si>
  <si>
    <t>N_BM</t>
  </si>
  <si>
    <t>N content, dry basis</t>
  </si>
  <si>
    <t>P_BM</t>
  </si>
  <si>
    <t>P content, dry basis</t>
  </si>
  <si>
    <t>K_BM</t>
  </si>
  <si>
    <t>K content, dry basis</t>
  </si>
  <si>
    <t>Cbioand_BM</t>
  </si>
  <si>
    <t>C content, dry basis</t>
  </si>
  <si>
    <t>Energy_BM</t>
  </si>
  <si>
    <t>Energy content, dry basis</t>
  </si>
  <si>
    <r>
      <t>MJ kg</t>
    </r>
    <r>
      <rPr>
        <vertAlign val="superscript"/>
        <sz val="10"/>
        <color rgb="FF000000"/>
        <rFont val="Times New Roman"/>
        <family val="1"/>
      </rPr>
      <t>-1</t>
    </r>
    <r>
      <rPr>
        <sz val="10"/>
        <color rgb="FF000000"/>
        <rFont val="Times New Roman"/>
        <family val="1"/>
      </rPr>
      <t xml:space="preserve"> TS</t>
    </r>
  </si>
  <si>
    <t>Hg_BM</t>
  </si>
  <si>
    <t>Hg content, dry basis</t>
  </si>
  <si>
    <t>Cd_BM</t>
  </si>
  <si>
    <t>Cd content, dry basis</t>
  </si>
  <si>
    <t>Cr_BM</t>
  </si>
  <si>
    <t>Cr content, dry basis</t>
  </si>
  <si>
    <t>Cu_BM</t>
  </si>
  <si>
    <t>Cu content, dry basis</t>
  </si>
  <si>
    <t>Ni_BM</t>
  </si>
  <si>
    <t>Ni content, dry basis</t>
  </si>
  <si>
    <t>Pb_BM</t>
  </si>
  <si>
    <t>Pb content, dry basis</t>
  </si>
  <si>
    <t>Zn_BM</t>
  </si>
  <si>
    <t>Zn content, dry basis</t>
  </si>
  <si>
    <t>CH4_pot_RAW</t>
  </si>
  <si>
    <r>
      <t>Nm</t>
    </r>
    <r>
      <rPr>
        <vertAlign val="superscript"/>
        <sz val="10"/>
        <color rgb="FF000000"/>
        <rFont val="Times New Roman"/>
        <family val="1"/>
      </rPr>
      <t>3</t>
    </r>
    <r>
      <rPr>
        <sz val="10"/>
        <color rgb="FF000000"/>
        <rFont val="Times New Roman"/>
        <family val="1"/>
      </rPr>
      <t xml:space="preserve"> CH</t>
    </r>
    <r>
      <rPr>
        <vertAlign val="subscript"/>
        <sz val="10"/>
        <color rgb="FF000000"/>
        <rFont val="Times New Roman"/>
        <family val="1"/>
      </rPr>
      <t xml:space="preserve">4 </t>
    </r>
    <r>
      <rPr>
        <sz val="10"/>
        <color rgb="FF000000"/>
        <rFont val="Times New Roman"/>
        <family val="1"/>
      </rPr>
      <t>t</t>
    </r>
    <r>
      <rPr>
        <vertAlign val="superscript"/>
        <sz val="10"/>
        <color rgb="FF000000"/>
        <rFont val="Times New Roman"/>
        <family val="1"/>
      </rPr>
      <t>-1</t>
    </r>
    <r>
      <rPr>
        <sz val="10"/>
        <color rgb="FF000000"/>
        <rFont val="Times New Roman"/>
        <family val="1"/>
      </rPr>
      <t xml:space="preserve"> ww</t>
    </r>
  </si>
  <si>
    <t>TD</t>
  </si>
  <si>
    <t>Technology</t>
  </si>
  <si>
    <t>el_inc</t>
  </si>
  <si>
    <t>electricity recovery efficiency mono incinerator</t>
  </si>
  <si>
    <t>% LHV ww</t>
  </si>
  <si>
    <t>Anaerobic Digestion</t>
  </si>
  <si>
    <t>BG_yield</t>
  </si>
  <si>
    <t>CH4 yield, as percent of CH4 potential</t>
  </si>
  <si>
    <r>
      <t>% CH</t>
    </r>
    <r>
      <rPr>
        <vertAlign val="subscript"/>
        <sz val="10"/>
        <color rgb="FF000000"/>
        <rFont val="Times New Roman"/>
        <family val="1"/>
      </rPr>
      <t>4</t>
    </r>
    <r>
      <rPr>
        <sz val="10"/>
        <color rgb="FF000000"/>
        <rFont val="Times New Roman"/>
        <family val="1"/>
      </rPr>
      <t xml:space="preserve"> potential</t>
    </r>
  </si>
  <si>
    <t>Technology - Substance split #1</t>
  </si>
  <si>
    <t>P_TC</t>
  </si>
  <si>
    <t>% substance routed to solid fraction</t>
  </si>
  <si>
    <t xml:space="preserve">% to solid fraction </t>
  </si>
  <si>
    <t>C_TC</t>
  </si>
  <si>
    <t>Technology - Substance split #2</t>
  </si>
  <si>
    <t>Cu_TC2</t>
  </si>
  <si>
    <t>Zn_TC2</t>
  </si>
  <si>
    <t>Use-on-Land</t>
  </si>
  <si>
    <t>N_leaching_AD_GW</t>
  </si>
  <si>
    <t>N emission to water (GroundWater)</t>
  </si>
  <si>
    <t>% N applied digestate</t>
  </si>
  <si>
    <t>NH3_dig</t>
  </si>
  <si>
    <t>NH3-N emission</t>
  </si>
  <si>
    <t>UOL RAW  biomass</t>
  </si>
  <si>
    <t>N2O_RAW</t>
  </si>
  <si>
    <t>N2O-N emission</t>
  </si>
  <si>
    <t>% N applied RAW</t>
  </si>
  <si>
    <t>P_leached_RAW</t>
  </si>
  <si>
    <t>P lost to water (run-off, erosion, drainage, from stables)-Surface Water</t>
  </si>
  <si>
    <t>% P applied RAW</t>
  </si>
  <si>
    <t>N_fert_subst</t>
  </si>
  <si>
    <r>
      <t>kg N kg</t>
    </r>
    <r>
      <rPr>
        <vertAlign val="superscript"/>
        <sz val="10"/>
        <color rgb="FF000000"/>
        <rFont val="Times New Roman"/>
        <family val="1"/>
      </rPr>
      <t>-1</t>
    </r>
    <r>
      <rPr>
        <sz val="10"/>
        <color rgb="FF000000"/>
        <rFont val="Times New Roman"/>
        <family val="1"/>
      </rPr>
      <t xml:space="preserve"> N applied P-fertilizer</t>
    </r>
  </si>
  <si>
    <t>P_fert_subst</t>
  </si>
  <si>
    <r>
      <t>kg P kg</t>
    </r>
    <r>
      <rPr>
        <vertAlign val="superscript"/>
        <sz val="10"/>
        <color rgb="FF000000"/>
        <rFont val="Times New Roman"/>
        <family val="1"/>
      </rPr>
      <t>-1</t>
    </r>
    <r>
      <rPr>
        <sz val="10"/>
        <color rgb="FF000000"/>
        <rFont val="Times New Roman"/>
        <family val="1"/>
      </rPr>
      <t xml:space="preserve"> P applied P-fertilizer</t>
    </r>
  </si>
  <si>
    <t>K_fert_subst_RAW</t>
  </si>
  <si>
    <r>
      <t>kg K kg</t>
    </r>
    <r>
      <rPr>
        <vertAlign val="superscript"/>
        <sz val="10"/>
        <color rgb="FF000000"/>
        <rFont val="Times New Roman"/>
        <family val="1"/>
      </rPr>
      <t>-1</t>
    </r>
    <r>
      <rPr>
        <sz val="10"/>
        <color rgb="FF000000"/>
        <rFont val="Times New Roman"/>
        <family val="1"/>
      </rPr>
      <t xml:space="preserve"> K applied P-fertilizer</t>
    </r>
  </si>
  <si>
    <t>Transport</t>
  </si>
  <si>
    <t>-</t>
  </si>
  <si>
    <t>Storage</t>
  </si>
  <si>
    <t>MBM acidulation</t>
  </si>
  <si>
    <t>SSP acidulation</t>
  </si>
  <si>
    <t>Ashdec®</t>
  </si>
  <si>
    <t>Ecophos®</t>
  </si>
  <si>
    <t>Product</t>
  </si>
  <si>
    <t>Background life cycle inventory</t>
  </si>
  <si>
    <t>Unit-cost</t>
  </si>
  <si>
    <t>Source</t>
  </si>
  <si>
    <r>
      <t>€ kg</t>
    </r>
    <r>
      <rPr>
        <vertAlign val="superscript"/>
        <sz val="10"/>
        <color rgb="FF000000"/>
        <rFont val="Times New Roman"/>
        <family val="1"/>
      </rPr>
      <t>-1</t>
    </r>
  </si>
  <si>
    <t>market for activated carbon, granular, GLO</t>
  </si>
  <si>
    <t>Ammonium nitrate, as N</t>
  </si>
  <si>
    <t>urea ammonium nitrate production; RoW</t>
  </si>
  <si>
    <t>market for calcium carbonate, precipitated, RoW</t>
  </si>
  <si>
    <t>CaO</t>
  </si>
  <si>
    <t>market for lime, RoW</t>
  </si>
  <si>
    <r>
      <t>q</t>
    </r>
    <r>
      <rPr>
        <sz val="9"/>
        <color rgb="FF000000"/>
        <rFont val="Times New Roman"/>
        <family val="1"/>
      </rPr>
      <t>uicklime production, milled, loose, RoW</t>
    </r>
  </si>
  <si>
    <t>Diesel at consumer - with tax/duties</t>
  </si>
  <si>
    <r>
      <t>€ L</t>
    </r>
    <r>
      <rPr>
        <vertAlign val="superscript"/>
        <sz val="10"/>
        <color rgb="FF000000"/>
        <rFont val="Times New Roman"/>
        <family val="1"/>
      </rPr>
      <t>-1</t>
    </r>
  </si>
  <si>
    <t>market for diesel; RoW</t>
  </si>
  <si>
    <t>Electricity - for enterprises</t>
  </si>
  <si>
    <r>
      <t>€ kWh</t>
    </r>
    <r>
      <rPr>
        <vertAlign val="superscript"/>
        <sz val="10"/>
        <color rgb="FF000000"/>
        <rFont val="Times New Roman"/>
        <family val="1"/>
      </rPr>
      <t>-1</t>
    </r>
  </si>
  <si>
    <t>market for electricity, high voltage; NL</t>
  </si>
  <si>
    <t>iron (III) chloride production, product in 40% solution state; RoW</t>
  </si>
  <si>
    <t>market for sulfuric acid; GLO</t>
  </si>
  <si>
    <t>Hydrogen chloride (HCl), gas, RER, ELCD, 2000</t>
  </si>
  <si>
    <t>Heat - for enterprises</t>
  </si>
  <si>
    <t>market for natural gas, high pressure; NL (in boiler)</t>
  </si>
  <si>
    <t>Heavy fuel oil - with tax/duties</t>
  </si>
  <si>
    <r>
      <t>€ MJ</t>
    </r>
    <r>
      <rPr>
        <vertAlign val="superscript"/>
        <sz val="10"/>
        <color rgb="FF000000"/>
        <rFont val="Times New Roman"/>
        <family val="1"/>
      </rPr>
      <t>-1</t>
    </r>
  </si>
  <si>
    <t>Heavy fuel oil, EU-15, ELCD, 2003</t>
  </si>
  <si>
    <t>KCl</t>
  </si>
  <si>
    <t>market for potassium chloride, as K2O; GLO</t>
  </si>
  <si>
    <t>Labour - with 'non-wage' costs</t>
  </si>
  <si>
    <r>
      <t>€ (manh)</t>
    </r>
    <r>
      <rPr>
        <vertAlign val="superscript"/>
        <sz val="10"/>
        <color rgb="FF000000"/>
        <rFont val="Times New Roman"/>
        <family val="1"/>
      </rPr>
      <t>-1</t>
    </r>
  </si>
  <si>
    <t>market for lubricating oil; RoW</t>
  </si>
  <si>
    <r>
      <t>MgCl</t>
    </r>
    <r>
      <rPr>
        <vertAlign val="subscript"/>
        <sz val="10"/>
        <color rgb="FF000000"/>
        <rFont val="Times New Roman"/>
        <family val="1"/>
      </rPr>
      <t>2</t>
    </r>
  </si>
  <si>
    <r>
      <t>Proxy with consumption of 0.24 kWh kg</t>
    </r>
    <r>
      <rPr>
        <vertAlign val="superscript"/>
        <sz val="9"/>
        <color rgb="FF000000"/>
        <rFont val="Times New Roman"/>
        <family val="1"/>
      </rPr>
      <t>-1</t>
    </r>
  </si>
  <si>
    <t>market for sodium chloride, powder; GLO</t>
  </si>
  <si>
    <t>market for sodium hydroxide, without water, in 50% solution state</t>
  </si>
  <si>
    <t>sodium sulfate production, from natural sources; RER</t>
  </si>
  <si>
    <t>Natural gas - for enterprises</t>
  </si>
  <si>
    <t>market for natural gas, high pressure; NL</t>
  </si>
  <si>
    <t>market for ammonia, liquid</t>
  </si>
  <si>
    <t>Mineral N-fertilizer (EU average mix), as N</t>
  </si>
  <si>
    <r>
      <t>Mineral P-fertilizer, SSP, as P</t>
    </r>
    <r>
      <rPr>
        <vertAlign val="subscript"/>
        <sz val="10"/>
        <color rgb="FF000000"/>
        <rFont val="Times New Roman"/>
        <family val="1"/>
      </rPr>
      <t>2</t>
    </r>
    <r>
      <rPr>
        <sz val="10"/>
        <color rgb="FF000000"/>
        <rFont val="Times New Roman"/>
        <family val="1"/>
      </rPr>
      <t>O</t>
    </r>
    <r>
      <rPr>
        <vertAlign val="subscript"/>
        <sz val="10"/>
        <color rgb="FF000000"/>
        <rFont val="Times New Roman"/>
        <family val="1"/>
      </rPr>
      <t>5</t>
    </r>
  </si>
  <si>
    <t>market for peat; GLO</t>
  </si>
  <si>
    <t>Petroleum coke - with tax/duties</t>
  </si>
  <si>
    <t>market for petroleum coke; GLO</t>
  </si>
  <si>
    <t>Phosphate rock</t>
  </si>
  <si>
    <t>market for phosphate rock, as P2O5, beneficiated, dry; GLO</t>
  </si>
  <si>
    <t>Phosphate rock - transport Morocco to EU</t>
  </si>
  <si>
    <t>market for phosphate fertiliser, as P2O5 - GLO</t>
  </si>
  <si>
    <t>Polyelectrolyte (Polyacrylamide)</t>
  </si>
  <si>
    <t>Urea, bulk, as N</t>
  </si>
  <si>
    <t>market for urea, as N; GLO</t>
  </si>
  <si>
    <t>Drinking water from groundwater, RER, ELCD, 2005</t>
  </si>
  <si>
    <t>fraction applied on land</t>
  </si>
  <si>
    <t>pathways</t>
  </si>
  <si>
    <t>emissions</t>
  </si>
  <si>
    <t>unit</t>
  </si>
  <si>
    <t>min</t>
  </si>
  <si>
    <t>max</t>
  </si>
  <si>
    <t>reference/comment</t>
  </si>
  <si>
    <t>concentrated P-fertiliser</t>
  </si>
  <si>
    <t>CH4</t>
  </si>
  <si>
    <t>% CH4 potential</t>
  </si>
  <si>
    <t>na</t>
  </si>
  <si>
    <t>no carbon in P-fertiliser</t>
  </si>
  <si>
    <t>no emissions assumed for stable, dry materials</t>
  </si>
  <si>
    <t>digested sewage sludge</t>
  </si>
  <si>
    <t>liquid pig fraction (non-digested and digested)</t>
  </si>
  <si>
    <t>dried poultry litter</t>
  </si>
  <si>
    <t>meat and bone meal</t>
  </si>
  <si>
    <t>solid pig manure (digested)</t>
  </si>
  <si>
    <t xml:space="preserve">emissions from liquid-solid separated material attrributed to liquid fraction </t>
  </si>
  <si>
    <t>N2O</t>
  </si>
  <si>
    <t>% N</t>
  </si>
  <si>
    <t>no nitrogen in P-fertiliser</t>
  </si>
  <si>
    <t>digested rest sludge</t>
  </si>
  <si>
    <t>NH3</t>
  </si>
  <si>
    <t>biochar stability assumption</t>
  </si>
  <si>
    <t>Scenario</t>
  </si>
  <si>
    <t>CC</t>
  </si>
  <si>
    <t>TA</t>
  </si>
  <si>
    <t>ME-N</t>
  </si>
  <si>
    <t>FE-P</t>
  </si>
  <si>
    <t>POF</t>
  </si>
  <si>
    <t>PM</t>
  </si>
  <si>
    <t>HTc</t>
  </si>
  <si>
    <t>ET</t>
  </si>
  <si>
    <t>RDf</t>
  </si>
  <si>
    <t>TE</t>
  </si>
  <si>
    <t>HTnc</t>
  </si>
  <si>
    <t>IR</t>
  </si>
  <si>
    <t>OD</t>
  </si>
  <si>
    <t>Sum</t>
  </si>
  <si>
    <t>RD,f</t>
  </si>
  <si>
    <t>Phosphate-rock</t>
  </si>
  <si>
    <t/>
  </si>
  <si>
    <t>Type of distribution</t>
  </si>
  <si>
    <t>c</t>
  </si>
  <si>
    <t>a (min)</t>
  </si>
  <si>
    <t>b (max)</t>
  </si>
  <si>
    <t>σ2 (variance)</t>
  </si>
  <si>
    <t>Comments</t>
  </si>
  <si>
    <t>Technical parameters</t>
  </si>
  <si>
    <t>MJ/kg TS</t>
  </si>
  <si>
    <t>As_BM</t>
  </si>
  <si>
    <t>As content, dry basis</t>
  </si>
  <si>
    <t>Storage RAW biomass</t>
  </si>
  <si>
    <t>CH4_storage_RAW</t>
  </si>
  <si>
    <t>CH4 emission</t>
  </si>
  <si>
    <t>% CH4 potential RAW</t>
  </si>
  <si>
    <t>N2O_storage_RAW</t>
  </si>
  <si>
    <t>% N input RAW</t>
  </si>
  <si>
    <t>NO_storage_RAW</t>
  </si>
  <si>
    <t>NOx-N emission</t>
  </si>
  <si>
    <t>NH3_storage_RAW</t>
  </si>
  <si>
    <t>CH4_storage_liquid_fraction</t>
  </si>
  <si>
    <t>% CH4 potential LIQ</t>
  </si>
  <si>
    <t>N2O_storage_liquid_fraction</t>
  </si>
  <si>
    <t>% N input LIQ</t>
  </si>
  <si>
    <t>NO_storage_liquid_fraction</t>
  </si>
  <si>
    <t>NH3_storage_liquid_fraction</t>
  </si>
  <si>
    <t>CH4_storage_DIG_P_recovery</t>
  </si>
  <si>
    <t>% CH4 potential DIG P-recovery</t>
  </si>
  <si>
    <t>N2O_storage_DIG_P_recovery</t>
  </si>
  <si>
    <t>% N input DIG P-recovery</t>
  </si>
  <si>
    <t>NO_storage_DIG_P_recovery</t>
  </si>
  <si>
    <t>NH3_storage_DIG_P_recovery</t>
  </si>
  <si>
    <t>CH4_storage_DIG_Reference</t>
  </si>
  <si>
    <t>% CH4 potential DIG Reference</t>
  </si>
  <si>
    <t>N2O_storage_DIG_Reference</t>
  </si>
  <si>
    <t>% N input DIG Reference</t>
  </si>
  <si>
    <t>NO_storage_DIG_Reference</t>
  </si>
  <si>
    <t>NH3_storage_DIG_Reference</t>
  </si>
  <si>
    <t>N_RAW</t>
  </si>
  <si>
    <t>N emission to water (SurfaceWater)</t>
  </si>
  <si>
    <t>N_RAW_GW</t>
  </si>
  <si>
    <t>NH3_RAW</t>
  </si>
  <si>
    <t>N_stored_RAW</t>
  </si>
  <si>
    <t>N stored in soil</t>
  </si>
  <si>
    <t>N_uptaken_RAW</t>
  </si>
  <si>
    <t>N uptaken by plants</t>
  </si>
  <si>
    <t>N2_RAW</t>
  </si>
  <si>
    <t>N released as N2</t>
  </si>
  <si>
    <t>P_uptaken_RAW</t>
  </si>
  <si>
    <t>P uptaken by plants</t>
  </si>
  <si>
    <t>P_leached_RAW_GW</t>
  </si>
  <si>
    <t>P lost to water (run-off, erosion, drainage, from stables)-Ground Water</t>
  </si>
  <si>
    <t>P_stored_RAW</t>
  </si>
  <si>
    <t>P stored in soils</t>
  </si>
  <si>
    <t>N_fert_subst_RAW</t>
  </si>
  <si>
    <t>N substitution efficiency</t>
  </si>
  <si>
    <t>kg N/kg N applied RAW</t>
  </si>
  <si>
    <t>P_fert_subst_RAW</t>
  </si>
  <si>
    <t>P substitution efficiency</t>
  </si>
  <si>
    <t>kg P/kg P applied RAW</t>
  </si>
  <si>
    <t>K substitution efficiency</t>
  </si>
  <si>
    <t>kg K/kg K applied RAW</t>
  </si>
  <si>
    <t>N_LF</t>
  </si>
  <si>
    <t>% N applied Liq fract</t>
  </si>
  <si>
    <t>N_LF_GW</t>
  </si>
  <si>
    <t>N2O_LF</t>
  </si>
  <si>
    <t>NH3_LF</t>
  </si>
  <si>
    <t>N_stored_LF</t>
  </si>
  <si>
    <t>N_uptaken_LF</t>
  </si>
  <si>
    <t>N2_LF</t>
  </si>
  <si>
    <t>P_uptaken_LF</t>
  </si>
  <si>
    <t>% P applied Liq fract</t>
  </si>
  <si>
    <t>P_leached_LF</t>
  </si>
  <si>
    <t>P_leached_LF_GW</t>
  </si>
  <si>
    <t>P_stored_LF</t>
  </si>
  <si>
    <t>N_fert_subst_LF</t>
  </si>
  <si>
    <t>kg N/kg N applied Liq fract</t>
  </si>
  <si>
    <t>P_fert_subst_LF</t>
  </si>
  <si>
    <t>kg P/kg P applied Liq fract</t>
  </si>
  <si>
    <t>K_fert_subst_LF</t>
  </si>
  <si>
    <t>kg K/kg K applied Liq fract</t>
  </si>
  <si>
    <t>N_Pfert_SW</t>
  </si>
  <si>
    <t>% N applied</t>
  </si>
  <si>
    <t>N_Pfert_GW</t>
  </si>
  <si>
    <t>N2O_Pfert</t>
  </si>
  <si>
    <t>NH3_Pfert</t>
  </si>
  <si>
    <t>N_stored_Pfert</t>
  </si>
  <si>
    <t>N_uptaken_Pfert</t>
  </si>
  <si>
    <t>N2_Pfert</t>
  </si>
  <si>
    <t>P_uptaken_Pfert</t>
  </si>
  <si>
    <t>% P applied</t>
  </si>
  <si>
    <t>P_leached_Pfert</t>
  </si>
  <si>
    <t xml:space="preserve">% P applied </t>
  </si>
  <si>
    <t>P_leached_Pfert_GW</t>
  </si>
  <si>
    <t>P_stored_Pfert</t>
  </si>
  <si>
    <t>Nsubst_Pfert</t>
  </si>
  <si>
    <t>kg N/kg N applied P-fract</t>
  </si>
  <si>
    <t>Psubst_Pfert</t>
  </si>
  <si>
    <t>kg P/kg P applied P-fract</t>
  </si>
  <si>
    <t>Ksubst_Pfert</t>
  </si>
  <si>
    <t>kg K/kg K applied P-fract</t>
  </si>
  <si>
    <t>Spreading_Ash</t>
  </si>
  <si>
    <t>Diesel for tractor</t>
  </si>
  <si>
    <t>L diesel/kg product applied</t>
  </si>
  <si>
    <t>Assumed a range ±20% around default value</t>
  </si>
  <si>
    <t>UOL Digestate (Advanced scenario - A)</t>
  </si>
  <si>
    <t>N_leaching_AD</t>
  </si>
  <si>
    <t>% N applied dig</t>
  </si>
  <si>
    <t>N2O_dig</t>
  </si>
  <si>
    <t>N_stored_dig</t>
  </si>
  <si>
    <t>N_uptaken_dig</t>
  </si>
  <si>
    <t>N2_dig</t>
  </si>
  <si>
    <t>P_uptaken_dig</t>
  </si>
  <si>
    <t>% P applied dig</t>
  </si>
  <si>
    <t>P_leached_dig</t>
  </si>
  <si>
    <t>% P applied Sol fract</t>
  </si>
  <si>
    <t>P_leached_dig_GW</t>
  </si>
  <si>
    <t>P_stored_dig</t>
  </si>
  <si>
    <t>N_fert_subst_dig</t>
  </si>
  <si>
    <t>P_fert_subst_dig</t>
  </si>
  <si>
    <t>K_fert_subst_dig</t>
  </si>
  <si>
    <t>N_leaching_AD_REF</t>
  </si>
  <si>
    <t>N_leaching_AD_GW_REF</t>
  </si>
  <si>
    <t>N2O_dig_REF</t>
  </si>
  <si>
    <t>NH3_dig_REF</t>
  </si>
  <si>
    <t>N_stored_dig_REF</t>
  </si>
  <si>
    <t>N_uptaken_dig_REF</t>
  </si>
  <si>
    <t>N2_dig_REF</t>
  </si>
  <si>
    <t>P_uptaken_dig_REF</t>
  </si>
  <si>
    <t>P_leached_dig_REF</t>
  </si>
  <si>
    <t>P_leached_dig_GW_REF</t>
  </si>
  <si>
    <t>P_stored_dig_REF</t>
  </si>
  <si>
    <t>N_fert_subst_dig_REF</t>
  </si>
  <si>
    <t>P_fert_subst_dig_REF</t>
  </si>
  <si>
    <t>K_fert_subst_dig_REF</t>
  </si>
  <si>
    <t>N_SW_MF</t>
  </si>
  <si>
    <t>% N applied min fertilizer</t>
  </si>
  <si>
    <t>N_GW_MF</t>
  </si>
  <si>
    <t>N2O_MF</t>
  </si>
  <si>
    <t>NH3_MF</t>
  </si>
  <si>
    <t>N_stored_MF</t>
  </si>
  <si>
    <t>N_uptaken_MF</t>
  </si>
  <si>
    <t>P_leached_MF</t>
  </si>
  <si>
    <t>P_leached_MF_GW</t>
  </si>
  <si>
    <t>% LHV ww (ww: wet weight)</t>
  </si>
  <si>
    <t>el_inc_MSW</t>
  </si>
  <si>
    <t>electricity recovery efficiency MSW incinerator</t>
  </si>
  <si>
    <t>el_AD</t>
  </si>
  <si>
    <t>electricity recovery efficiency engine</t>
  </si>
  <si>
    <t>% energy biogas</t>
  </si>
  <si>
    <t>Polymer_dec</t>
  </si>
  <si>
    <t>kg/kg DM</t>
  </si>
  <si>
    <t>El_dec</t>
  </si>
  <si>
    <t>kWh/kg DM</t>
  </si>
  <si>
    <t>Usagerate_inc</t>
  </si>
  <si>
    <t>kg/kg ww</t>
  </si>
  <si>
    <t>Labor_inc</t>
  </si>
  <si>
    <t xml:space="preserve">man*hour needed </t>
  </si>
  <si>
    <t>(man*hour)/year</t>
  </si>
  <si>
    <t>NH3 consumption</t>
  </si>
  <si>
    <t>AC</t>
  </si>
  <si>
    <t>AC consumption</t>
  </si>
  <si>
    <t>CaO3</t>
  </si>
  <si>
    <t>CaO consumption</t>
  </si>
  <si>
    <t>Water_pr_inc</t>
  </si>
  <si>
    <t>Water_GW_inc</t>
  </si>
  <si>
    <t>HCl consumption</t>
  </si>
  <si>
    <t>CaCO3</t>
  </si>
  <si>
    <t>CaCO consumption</t>
  </si>
  <si>
    <t>NaOH consumption</t>
  </si>
  <si>
    <t>El_inc</t>
  </si>
  <si>
    <t>El consumption</t>
  </si>
  <si>
    <t>Heavyoil_inc</t>
  </si>
  <si>
    <t>Heavyoil consumption</t>
  </si>
  <si>
    <t>Lubricant_inc</t>
  </si>
  <si>
    <t>Lubricant consumption</t>
  </si>
  <si>
    <t>Natgas_inc</t>
  </si>
  <si>
    <t>Natgas consumption</t>
  </si>
  <si>
    <t>Silica_sand</t>
  </si>
  <si>
    <t>Silica consumption</t>
  </si>
  <si>
    <t>H2SO4</t>
  </si>
  <si>
    <t>H2SO4 consumption</t>
  </si>
  <si>
    <t>NaCl consumption</t>
  </si>
  <si>
    <t>Diesel_inc</t>
  </si>
  <si>
    <t>Diesel consumption</t>
  </si>
  <si>
    <t>HF</t>
  </si>
  <si>
    <t>HF emission to air</t>
  </si>
  <si>
    <t>NO</t>
  </si>
  <si>
    <t>NO emission to air</t>
  </si>
  <si>
    <t>SOx emission to air</t>
  </si>
  <si>
    <t>Dust emission to air</t>
  </si>
  <si>
    <t>Ammonia emission to air</t>
  </si>
  <si>
    <t>Hg emission to air</t>
  </si>
  <si>
    <t>Cd emission to air</t>
  </si>
  <si>
    <t>CO emission to air</t>
  </si>
  <si>
    <t>TOC</t>
  </si>
  <si>
    <t>TOC emission to air</t>
  </si>
  <si>
    <t>HCl emission to air</t>
  </si>
  <si>
    <t>N2O emission to air</t>
  </si>
  <si>
    <t>Dioxins emission to air</t>
  </si>
  <si>
    <t>MSW co-incineration</t>
  </si>
  <si>
    <t>Usagerate_inc_MSW</t>
  </si>
  <si>
    <t>Labor_inc_MSW</t>
  </si>
  <si>
    <t>man*hour needed</t>
  </si>
  <si>
    <t>NO_inc_MSW</t>
  </si>
  <si>
    <t>SOx_inc_MSW</t>
  </si>
  <si>
    <t>Usagerate_AD</t>
  </si>
  <si>
    <t>kg/year</t>
  </si>
  <si>
    <t>BG_leak</t>
  </si>
  <si>
    <t>CH4 leakage, as percent of CH4 yielded</t>
  </si>
  <si>
    <t>% CH4 yielded</t>
  </si>
  <si>
    <t>Labor_AD</t>
  </si>
  <si>
    <t>Water_pr_AD</t>
  </si>
  <si>
    <t>El_AD</t>
  </si>
  <si>
    <t>kWh/kg ww</t>
  </si>
  <si>
    <t>Diesel_AD</t>
  </si>
  <si>
    <t>Precipitation</t>
  </si>
  <si>
    <t>Usagerate_AP</t>
  </si>
  <si>
    <t>El_aeration_AP</t>
  </si>
  <si>
    <t>El_dewatering_AP</t>
  </si>
  <si>
    <t>Water_struvite_AP</t>
  </si>
  <si>
    <t>MgCl2_AP</t>
  </si>
  <si>
    <t>Diesel_AP</t>
  </si>
  <si>
    <t>l/kg ww</t>
  </si>
  <si>
    <t>Polymer_dewatering_AP</t>
  </si>
  <si>
    <t>Analyses_AP</t>
  </si>
  <si>
    <t>unit/year</t>
  </si>
  <si>
    <t>Labor_AP</t>
  </si>
  <si>
    <t>Acidulation</t>
  </si>
  <si>
    <t>Usagerate_AC</t>
  </si>
  <si>
    <t>kg ash/year</t>
  </si>
  <si>
    <t>Labor_AC</t>
  </si>
  <si>
    <t>Water_AC</t>
  </si>
  <si>
    <t>kg/kg ash</t>
  </si>
  <si>
    <t>H2SO4_AC</t>
  </si>
  <si>
    <t>kg H2SO4/kg ash</t>
  </si>
  <si>
    <t>HCl_AC</t>
  </si>
  <si>
    <t>kg HCl/kg ash</t>
  </si>
  <si>
    <t>El_mix_gri_AC</t>
  </si>
  <si>
    <t>kWh/kg ash</t>
  </si>
  <si>
    <t>Natgas_AC</t>
  </si>
  <si>
    <t>MJ/kg ash</t>
  </si>
  <si>
    <t>Heat_AC</t>
  </si>
  <si>
    <t>CaCl2_AC</t>
  </si>
  <si>
    <t>FeCl3_AC</t>
  </si>
  <si>
    <t>Ashdec</t>
  </si>
  <si>
    <t>Usagerate_ADC</t>
  </si>
  <si>
    <t>Labor_ADC</t>
  </si>
  <si>
    <t>man*hour needed  ashdec unit</t>
  </si>
  <si>
    <t>CaOH2_ADC</t>
  </si>
  <si>
    <t>CaOH2 consumption  ashdec unit</t>
  </si>
  <si>
    <t>NaOH_ADC</t>
  </si>
  <si>
    <t>NaOH consumption  ashdec unit</t>
  </si>
  <si>
    <t>NaSO4_ADC</t>
  </si>
  <si>
    <t>NaSO4 consumption ashdec unit</t>
  </si>
  <si>
    <t>Water_ADC</t>
  </si>
  <si>
    <t>Water consumption  ashdec unit</t>
  </si>
  <si>
    <t>Heat_ADC</t>
  </si>
  <si>
    <t>Heat consumption  ashdec unit</t>
  </si>
  <si>
    <t>Electricity_ADC</t>
  </si>
  <si>
    <t>Electricity consumption  ashdec unit</t>
  </si>
  <si>
    <t>Granulation</t>
  </si>
  <si>
    <t>Usagerate_gr</t>
  </si>
  <si>
    <t>Labor_gr</t>
  </si>
  <si>
    <t>man*hour needed granulation unit</t>
  </si>
  <si>
    <t>(man*hour)/kg ww</t>
  </si>
  <si>
    <t>Natgas_gr</t>
  </si>
  <si>
    <t>MJ/kg ww</t>
  </si>
  <si>
    <t>Heat_gr</t>
  </si>
  <si>
    <t>Heat consumption granulation unit</t>
  </si>
  <si>
    <t>Electricity_gr</t>
  </si>
  <si>
    <t>Electricity cosumption granulation unit</t>
  </si>
  <si>
    <t>Diesel_gr</t>
  </si>
  <si>
    <t>Diesel consumption granulation unit</t>
  </si>
  <si>
    <t>Composting</t>
  </si>
  <si>
    <t>Usagerate_CP</t>
  </si>
  <si>
    <t>Labor_CP</t>
  </si>
  <si>
    <t>Labor consumption composting plant</t>
  </si>
  <si>
    <t>Water_CP</t>
  </si>
  <si>
    <t>Water consumption composting plant</t>
  </si>
  <si>
    <t>Electricity_CP</t>
  </si>
  <si>
    <t>Diesel_CP</t>
  </si>
  <si>
    <t>Diesel consumption composting plant</t>
  </si>
  <si>
    <t>VS_TC</t>
  </si>
  <si>
    <t>Ash_TC</t>
  </si>
  <si>
    <t>Energy_TC</t>
  </si>
  <si>
    <t>CH4_TC</t>
  </si>
  <si>
    <t>K_TC</t>
  </si>
  <si>
    <t>N_TC</t>
  </si>
  <si>
    <t>As_TC</t>
  </si>
  <si>
    <t>Hg_TC</t>
  </si>
  <si>
    <t>Cd_TC</t>
  </si>
  <si>
    <t>Cr_TC</t>
  </si>
  <si>
    <t>Cu_TC</t>
  </si>
  <si>
    <t>Ni_TC</t>
  </si>
  <si>
    <t>Pb_TC</t>
  </si>
  <si>
    <t>Zn_TC</t>
  </si>
  <si>
    <t>VS_TC2</t>
  </si>
  <si>
    <t>Ash_TC2</t>
  </si>
  <si>
    <t>Energy_TC2</t>
  </si>
  <si>
    <t>CH4_TC2</t>
  </si>
  <si>
    <t>C_TC2</t>
  </si>
  <si>
    <t>K_TC2</t>
  </si>
  <si>
    <t>N_TC2</t>
  </si>
  <si>
    <t>P_TC2</t>
  </si>
  <si>
    <t>As_TC2</t>
  </si>
  <si>
    <t>Hg_TC2</t>
  </si>
  <si>
    <t>Cd_TC2</t>
  </si>
  <si>
    <t>Cr_TC2</t>
  </si>
  <si>
    <t>Ni_TC2</t>
  </si>
  <si>
    <t>Pb_TC2</t>
  </si>
  <si>
    <t>Diesel_consumption_tr</t>
  </si>
  <si>
    <t>kg diesel/km driven</t>
  </si>
  <si>
    <t>Tr_RAW</t>
  </si>
  <si>
    <t>km*kg ww</t>
  </si>
  <si>
    <t>5-100km range assumed</t>
  </si>
  <si>
    <t>Tr_OW</t>
  </si>
  <si>
    <t>Tr_SF</t>
  </si>
  <si>
    <t>km transport solid fraction</t>
  </si>
  <si>
    <t>Tr_LF</t>
  </si>
  <si>
    <t>km transport liquid fraction</t>
  </si>
  <si>
    <t>Tr_dig</t>
  </si>
  <si>
    <t>km transport whole digestate</t>
  </si>
  <si>
    <t>Tr_FA</t>
  </si>
  <si>
    <t>km transport ashes from incineration to P-recovery facility</t>
  </si>
  <si>
    <t>Tr_BA</t>
  </si>
  <si>
    <t>km transport ashes to further use (filling, landfill)</t>
  </si>
  <si>
    <t>Tr_Struvite</t>
  </si>
  <si>
    <t>km transport P-fertilizer (product)</t>
  </si>
  <si>
    <t>Labor_transport_OW_tr</t>
  </si>
  <si>
    <t>man*hour needed for transport</t>
  </si>
  <si>
    <t>man*hour/kg ww</t>
  </si>
  <si>
    <t>Labor_transport_dig_tr</t>
  </si>
  <si>
    <t>Labor_transport_comp_tr</t>
  </si>
  <si>
    <t>Labor_transport_FA_tr</t>
  </si>
  <si>
    <t>Labor_transport_BA_tr</t>
  </si>
  <si>
    <t>Labor_transport_Struvite_tr</t>
  </si>
  <si>
    <t>Labor_transport_SF_tr</t>
  </si>
  <si>
    <t>Labor_transport_LF_tr</t>
  </si>
  <si>
    <t>Usagerate_OW_tr</t>
  </si>
  <si>
    <t>Truck annual capacity used</t>
  </si>
  <si>
    <t>kg ww/year</t>
  </si>
  <si>
    <t>Usagerate_dig_tr</t>
  </si>
  <si>
    <t>Usagerate_comp_tr</t>
  </si>
  <si>
    <t>Usagerate_FA_tr</t>
  </si>
  <si>
    <t>Usagerate_BA_tr</t>
  </si>
  <si>
    <t>Usagerate_Struvite_tr</t>
  </si>
  <si>
    <t>Usagerate_SF</t>
  </si>
  <si>
    <t>Usagerate_LF</t>
  </si>
  <si>
    <t>storage_RAW_cost</t>
  </si>
  <si>
    <t>€/kg material</t>
  </si>
  <si>
    <t>storage_DIG_P_recovery_cost</t>
  </si>
  <si>
    <t>storage_DIG_Reference_cost</t>
  </si>
  <si>
    <t>Storage_liquid_fraction_cost</t>
  </si>
  <si>
    <t>Storage_P_recovery_cost</t>
  </si>
  <si>
    <t>Urea_cost</t>
  </si>
  <si>
    <t>N fertilizer cost</t>
  </si>
  <si>
    <t>€/kg N</t>
  </si>
  <si>
    <t>Phosphate_cost</t>
  </si>
  <si>
    <t>Phosphate cost</t>
  </si>
  <si>
    <t>€/kg K2O</t>
  </si>
  <si>
    <t>Potassium_cost</t>
  </si>
  <si>
    <t>Potassium cost</t>
  </si>
  <si>
    <t>€/kg P2O5</t>
  </si>
  <si>
    <t>Investment_inc_cost</t>
  </si>
  <si>
    <t>€/year</t>
  </si>
  <si>
    <t>Annual_Maintenance_cost</t>
  </si>
  <si>
    <t>Annual_Insurance_cost</t>
  </si>
  <si>
    <t>NH3_cost</t>
  </si>
  <si>
    <t>NH3 cost</t>
  </si>
  <si>
    <t>€/kg</t>
  </si>
  <si>
    <t>AC_cost</t>
  </si>
  <si>
    <t>Water_pr_cost</t>
  </si>
  <si>
    <t>Water_GW_cost</t>
  </si>
  <si>
    <t>HCl_cost</t>
  </si>
  <si>
    <t>HCl cost</t>
  </si>
  <si>
    <t>CaCO3_cost</t>
  </si>
  <si>
    <t>CaCO3 cost</t>
  </si>
  <si>
    <t>NaOH_cost</t>
  </si>
  <si>
    <t>NaOH cost</t>
  </si>
  <si>
    <t>Heavyoil_cost</t>
  </si>
  <si>
    <t>Heavyoil cost</t>
  </si>
  <si>
    <t>Lubricants_cost</t>
  </si>
  <si>
    <t>Lubricants cost</t>
  </si>
  <si>
    <t>Natgas_cost</t>
  </si>
  <si>
    <t>€/MJ</t>
  </si>
  <si>
    <t>El_cost</t>
  </si>
  <si>
    <t>€/kWh</t>
  </si>
  <si>
    <t>Heat_cost</t>
  </si>
  <si>
    <t>Heat cost</t>
  </si>
  <si>
    <t>H2SO4_cost</t>
  </si>
  <si>
    <t>H2SO4 cost</t>
  </si>
  <si>
    <t xml:space="preserve">€/kg </t>
  </si>
  <si>
    <t>Silica_sand_cost</t>
  </si>
  <si>
    <t>CostAggr_FA</t>
  </si>
  <si>
    <t>€/kg FA</t>
  </si>
  <si>
    <t>Investment_inc_MSW_cost</t>
  </si>
  <si>
    <t>Annual_Maintenance_MSW_cost</t>
  </si>
  <si>
    <t>Annual_Insurance_MSW_cost</t>
  </si>
  <si>
    <t>Investment_cost_AD</t>
  </si>
  <si>
    <t>Annual_Maintenance_cost_AD</t>
  </si>
  <si>
    <t>Annual_Insurance_cost_AD</t>
  </si>
  <si>
    <t>Landfilling</t>
  </si>
  <si>
    <t>Investment_cost_BALF</t>
  </si>
  <si>
    <t>Analysis_leachate_cost_BALF</t>
  </si>
  <si>
    <t>Analysis_groundwater_cost_BALF</t>
  </si>
  <si>
    <t>Annual_Maintenance_cost_BALF</t>
  </si>
  <si>
    <t>Annual_Insurances_cost_BALF</t>
  </si>
  <si>
    <t>Labor_year_cost_BALF</t>
  </si>
  <si>
    <t>Leachate_hauling_treatment_cost_BALF</t>
  </si>
  <si>
    <t>Diesel_year_cost_BALF</t>
  </si>
  <si>
    <t>Electricity_year_cost_BALF</t>
  </si>
  <si>
    <t>Investment_cost_CP</t>
  </si>
  <si>
    <t>Annual_Maintenance_cost_CP</t>
  </si>
  <si>
    <t>Annual_Insurance_cost_CP</t>
  </si>
  <si>
    <t>Analyses_cost_CP</t>
  </si>
  <si>
    <t>Investment_cost_AP</t>
  </si>
  <si>
    <t>Annual_Maintenance_cost_AP</t>
  </si>
  <si>
    <t>Annual_Insurance_cost_AP</t>
  </si>
  <si>
    <t>Polymer_dew_cost</t>
  </si>
  <si>
    <t>Polymer dewatering cost</t>
  </si>
  <si>
    <t>MgCl2_cost</t>
  </si>
  <si>
    <t xml:space="preserve">MgCl2 cost </t>
  </si>
  <si>
    <t>Investment_cost_AC</t>
  </si>
  <si>
    <t>Annual_Maintenance_cost_AC</t>
  </si>
  <si>
    <t>Annual_Insurance_cost_AC</t>
  </si>
  <si>
    <t>Investment_cost_ADC</t>
  </si>
  <si>
    <t>Annual_Maintenance_cost_ADC</t>
  </si>
  <si>
    <t>Annual_Insurance_cost_ADC</t>
  </si>
  <si>
    <t>Other</t>
  </si>
  <si>
    <t>Petroleumcoke_cost</t>
  </si>
  <si>
    <t>Petroleumcoke cost</t>
  </si>
  <si>
    <t>Hardcoal_cost</t>
  </si>
  <si>
    <t>Hardcoal cost</t>
  </si>
  <si>
    <t>NaSO4_cost</t>
  </si>
  <si>
    <t>NaSO4 cost</t>
  </si>
  <si>
    <t>CaOH2_cost</t>
  </si>
  <si>
    <t>CaOH2 cost</t>
  </si>
  <si>
    <t>Petfood_cost</t>
  </si>
  <si>
    <t>Phosphatic_rock_cost</t>
  </si>
  <si>
    <t>Phosphatic_rock_Int_tr_cost</t>
  </si>
  <si>
    <t>FeCl2_cost</t>
  </si>
  <si>
    <t>Truck_cost_tr</t>
  </si>
  <si>
    <t>Annual_Insurance_cost_tr</t>
  </si>
  <si>
    <t>Annual_Maintenance_cost_tr</t>
  </si>
  <si>
    <t xml:space="preserve">UOL Mineral N-fertilizer </t>
  </si>
  <si>
    <t xml:space="preserve">UOL Mineral P-fertilizer </t>
  </si>
  <si>
    <t>Economic parameters</t>
  </si>
  <si>
    <t>Concentrated P-fertilisers</t>
  </si>
  <si>
    <r>
      <t>mg kg</t>
    </r>
    <r>
      <rPr>
        <vertAlign val="superscript"/>
        <sz val="10"/>
        <color rgb="FF000000"/>
        <rFont val="Times New Roman"/>
        <family val="1"/>
      </rPr>
      <t>-1</t>
    </r>
    <r>
      <rPr>
        <sz val="10"/>
        <color rgb="FF000000"/>
        <rFont val="Times New Roman"/>
        <family val="1"/>
      </rPr>
      <t xml:space="preserve"> TS</t>
    </r>
  </si>
  <si>
    <t>&lt;1</t>
  </si>
  <si>
    <r>
      <t>ref.</t>
    </r>
    <r>
      <rPr>
        <vertAlign val="superscript"/>
        <sz val="9"/>
        <color rgb="FF000000"/>
        <rFont val="Times New Roman"/>
        <family val="1"/>
      </rPr>
      <t>2</t>
    </r>
  </si>
  <si>
    <r>
      <t>ref.</t>
    </r>
    <r>
      <rPr>
        <vertAlign val="superscript"/>
        <sz val="9"/>
        <color rgb="FF000000"/>
        <rFont val="Times New Roman"/>
        <family val="1"/>
      </rPr>
      <t>46</t>
    </r>
  </si>
  <si>
    <r>
      <t>ref.</t>
    </r>
    <r>
      <rPr>
        <vertAlign val="superscript"/>
        <sz val="9"/>
        <color rgb="FF000000"/>
        <rFont val="Times New Roman"/>
        <family val="1"/>
      </rPr>
      <t>47</t>
    </r>
  </si>
  <si>
    <r>
      <t>ref.</t>
    </r>
    <r>
      <rPr>
        <vertAlign val="superscript"/>
        <sz val="9"/>
        <color rgb="FF000000"/>
        <rFont val="Times New Roman"/>
        <family val="1"/>
      </rPr>
      <t>48</t>
    </r>
  </si>
  <si>
    <r>
      <t>ref.</t>
    </r>
    <r>
      <rPr>
        <vertAlign val="superscript"/>
        <sz val="9"/>
        <color rgb="FF000000"/>
        <rFont val="Times New Roman"/>
        <family val="1"/>
      </rPr>
      <t>49</t>
    </r>
  </si>
  <si>
    <r>
      <t>ref.</t>
    </r>
    <r>
      <rPr>
        <vertAlign val="superscript"/>
        <sz val="9"/>
        <color rgb="FF000000"/>
        <rFont val="Times New Roman"/>
        <family val="1"/>
      </rPr>
      <t>54</t>
    </r>
  </si>
  <si>
    <r>
      <t>ref.</t>
    </r>
    <r>
      <rPr>
        <vertAlign val="superscript"/>
        <sz val="9"/>
        <color rgb="FF000000"/>
        <rFont val="Times New Roman"/>
        <family val="1"/>
      </rPr>
      <t>55</t>
    </r>
  </si>
  <si>
    <r>
      <t>ref.</t>
    </r>
    <r>
      <rPr>
        <vertAlign val="superscript"/>
        <sz val="9"/>
        <color rgb="FF000000"/>
        <rFont val="Times New Roman"/>
        <family val="1"/>
      </rPr>
      <t>56</t>
    </r>
  </si>
  <si>
    <r>
      <t>ref.</t>
    </r>
    <r>
      <rPr>
        <vertAlign val="superscript"/>
        <sz val="9"/>
        <color rgb="FF000000"/>
        <rFont val="Times New Roman"/>
        <family val="1"/>
      </rPr>
      <t>58</t>
    </r>
  </si>
  <si>
    <t>own calculation</t>
  </si>
  <si>
    <t>Silica sand cost</t>
  </si>
  <si>
    <t>Annual Maintenance composting cost</t>
  </si>
  <si>
    <t>Annual Insurance composting cost</t>
  </si>
  <si>
    <t>Analyses composting cost</t>
  </si>
  <si>
    <t>FeCl2 cost</t>
  </si>
  <si>
    <t>Phospatic rock cost</t>
  </si>
  <si>
    <t>Phospatic rock transport to EU cost</t>
  </si>
  <si>
    <t>Truck fuel consumption</t>
  </si>
  <si>
    <t>Annual maintenance incineration cost</t>
  </si>
  <si>
    <t>Annual insurance incineration cost</t>
  </si>
  <si>
    <t>Activated carbon cost</t>
  </si>
  <si>
    <t>Water processing cost</t>
  </si>
  <si>
    <t>Water groundwater cost</t>
  </si>
  <si>
    <t>Natural gas cost</t>
  </si>
  <si>
    <t>Electricity for enterprises cost</t>
  </si>
  <si>
    <t>Annual maintenance MSW co-incineration cost</t>
  </si>
  <si>
    <t>Annual insurance MSW co-incineration cost</t>
  </si>
  <si>
    <t>Annual maintenance anaerobic digestion cost</t>
  </si>
  <si>
    <t>Annual insurance anaerobic digestion cost</t>
  </si>
  <si>
    <t>Analysis leachate landfill cost</t>
  </si>
  <si>
    <t>Analysis groundwater landfill cost</t>
  </si>
  <si>
    <t>Annual Maintenance landfill cost</t>
  </si>
  <si>
    <t>Annual Insurances landfill cost</t>
  </si>
  <si>
    <t>Labor year landfill cost</t>
  </si>
  <si>
    <t>Leachate hauling treatment landfill cost</t>
  </si>
  <si>
    <t>Diesel year landfill cost</t>
  </si>
  <si>
    <t>Electricity year landfill cost</t>
  </si>
  <si>
    <t>Annual maintenance cost</t>
  </si>
  <si>
    <t xml:space="preserve">Annual insurance cost </t>
  </si>
  <si>
    <t>Annual maintenance acidulation cost</t>
  </si>
  <si>
    <t>Annual insurance acidulation cost</t>
  </si>
  <si>
    <t>Annual maintenance ashdec cost</t>
  </si>
  <si>
    <t>Annual insurance ashdec cost</t>
  </si>
  <si>
    <t>Annual insurance transport cost</t>
  </si>
  <si>
    <t>Annual maintenance transport cost</t>
  </si>
  <si>
    <t>Diesel_cost</t>
  </si>
  <si>
    <t>Diesel cost</t>
  </si>
  <si>
    <t>€/l</t>
  </si>
  <si>
    <t>Diesel_Tax_cost</t>
  </si>
  <si>
    <t>Diesel tax cost</t>
  </si>
  <si>
    <t>Labor_cost</t>
  </si>
  <si>
    <t>Labor cost</t>
  </si>
  <si>
    <t>€/(man*hour)</t>
  </si>
  <si>
    <t>Labor_Tax_cost</t>
  </si>
  <si>
    <t>Labor tax cost</t>
  </si>
  <si>
    <t>Storage RAW biomass cost</t>
  </si>
  <si>
    <t>Storage liquid fraction cost</t>
  </si>
  <si>
    <t>Storage P-product cost</t>
  </si>
  <si>
    <t>Investment incineration (annuity) cost</t>
  </si>
  <si>
    <t>Investment MSW co-incineration (annuity) cost</t>
  </si>
  <si>
    <t>Investment anaerobic digestion (annuity) cost</t>
  </si>
  <si>
    <t>Investment landfill (annuity) cost</t>
  </si>
  <si>
    <t>Investment composting (annuity) cost</t>
  </si>
  <si>
    <t>Investment precipitation (annuity) cost</t>
  </si>
  <si>
    <t>Investment acidulation (annuity) cost</t>
  </si>
  <si>
    <t>Investment ashdec (annuity) cost</t>
  </si>
  <si>
    <t>km transport of RAW feedstock in the current-day feedstock - C</t>
  </si>
  <si>
    <t>km transport of RAW feedstock in the Advanced scenario - A</t>
  </si>
  <si>
    <t>Processing water consumption</t>
  </si>
  <si>
    <t>Groundwater consumption</t>
  </si>
  <si>
    <t>Truck transport (annuity) cost</t>
  </si>
  <si>
    <t>man*hour needed anaerobic digestion</t>
  </si>
  <si>
    <t>Water consumption anaerobic digestion</t>
  </si>
  <si>
    <t>Diesel consumption anaerobic digestion</t>
  </si>
  <si>
    <t>Water  consumption airprex unit</t>
  </si>
  <si>
    <t>MgCl2 consumption airprex unit</t>
  </si>
  <si>
    <t>Diesel consumption airprex unit</t>
  </si>
  <si>
    <t>Polymer dewatering consumption airprex unit</t>
  </si>
  <si>
    <t>Analyses airprex unit</t>
  </si>
  <si>
    <t>man*hour needed airprex unit</t>
  </si>
  <si>
    <t>man*hour needed acidulation unit</t>
  </si>
  <si>
    <t>Water consumption acidulation unit</t>
  </si>
  <si>
    <t>H2SO4 consumption acidulation unit</t>
  </si>
  <si>
    <t>HCl consumption acidulation unit</t>
  </si>
  <si>
    <t>Heat consumption acidulation unit</t>
  </si>
  <si>
    <t>CaCl2 recovery acidulation unit</t>
  </si>
  <si>
    <t>FeCl3 recovery acidulation unit</t>
  </si>
  <si>
    <t>Electricity consumption acidulation unit</t>
  </si>
  <si>
    <t>Natural gas consumption acidulation unit</t>
  </si>
  <si>
    <t>Annual capacity acidulation unit</t>
  </si>
  <si>
    <t>Annual capacity granulation unit</t>
  </si>
  <si>
    <t>Annual capacity  composting plant</t>
  </si>
  <si>
    <t>Annual capacity  ashdec unit</t>
  </si>
  <si>
    <t>Natural gas consumption granulation unit</t>
  </si>
  <si>
    <t>Electricity consumption composting plant</t>
  </si>
  <si>
    <t>Electricity consumption dewatering airprex unit</t>
  </si>
  <si>
    <t>Electricity consumption airprex unit</t>
  </si>
  <si>
    <t>Annual capacity airprex unit</t>
  </si>
  <si>
    <t>Electricity consumption anaerobic digestion</t>
  </si>
  <si>
    <t>Annual capacity anaerobic digestion</t>
  </si>
  <si>
    <t>Annual capacity co-incineration</t>
  </si>
  <si>
    <t>Annual capacity mono-incineration</t>
  </si>
  <si>
    <t>NPK &amp; other substitution</t>
  </si>
  <si>
    <t>Methane potential of the raw biomass</t>
  </si>
  <si>
    <t>Use-on-land</t>
  </si>
  <si>
    <t>See Supplementary Information explanatory notes (section 4.8)</t>
  </si>
  <si>
    <t>See Supplementary Information explanatory notes (section 4.10)</t>
  </si>
  <si>
    <t>See Supplementary Information explanatory notes (section 4.9)</t>
  </si>
  <si>
    <t>Based on the ranges provided in ref. 5</t>
  </si>
  <si>
    <t>Primary data from plant operators</t>
  </si>
  <si>
    <t>UOL concentrated P-fertiliser (Advanced scenario - A)</t>
  </si>
  <si>
    <t>Mono-Incineration (or Mono-Pyrolysis)</t>
  </si>
  <si>
    <t>Fly ash disposal cost</t>
  </si>
  <si>
    <t>Dewatering</t>
  </si>
  <si>
    <t>Polymer consumption dewatering unit</t>
  </si>
  <si>
    <t>Electricity consumption dewatering unit</t>
  </si>
  <si>
    <t>Electricity recovery efficiency for mono- incineration</t>
  </si>
  <si>
    <t>α Electricity recovery efficiency 15.7%.</t>
  </si>
  <si>
    <t>ε Assumed the same as for mono-incineration.</t>
  </si>
  <si>
    <t>β Electricity recovery efficiency 30%.</t>
  </si>
  <si>
    <t>δ No electricity recovery as syngas is combusted to produce heat used internally in the pyrolysis reactor.</t>
  </si>
  <si>
    <r>
      <t>CAPEX</t>
    </r>
    <r>
      <rPr>
        <vertAlign val="superscript"/>
        <sz val="10"/>
        <color rgb="FF000000"/>
        <rFont val="Times New Roman"/>
        <family val="1"/>
      </rPr>
      <t>α</t>
    </r>
  </si>
  <si>
    <t>Initial investment: 10M€-15M€ (default 11.7M€; Nattorp &amp; Remmen, 2015)</t>
  </si>
  <si>
    <t>c (default)</t>
  </si>
  <si>
    <t>ND</t>
  </si>
  <si>
    <t xml:space="preserve">ε Emissions are expressed per MJ of biogas-energy in input to the engine, based on ref. 13. </t>
  </si>
  <si>
    <t xml:space="preserve">ζ Based on the figures reported in ref. 14. </t>
  </si>
  <si>
    <t>α Calculated using the database reported in ref. 17.</t>
  </si>
  <si>
    <r>
      <t>ref.</t>
    </r>
    <r>
      <rPr>
        <vertAlign val="superscript"/>
        <sz val="9"/>
        <color rgb="FF000000"/>
        <rFont val="Times New Roman"/>
        <family val="1"/>
      </rPr>
      <t>24</t>
    </r>
  </si>
  <si>
    <r>
      <t>ref.</t>
    </r>
    <r>
      <rPr>
        <vertAlign val="superscript"/>
        <sz val="9"/>
        <color rgb="FF000000"/>
        <rFont val="Times New Roman"/>
        <family val="1"/>
      </rPr>
      <t>23</t>
    </r>
    <r>
      <rPr>
        <sz val="9"/>
        <color rgb="FF000000"/>
        <rFont val="Times New Roman"/>
        <family val="1"/>
      </rPr>
      <t>, as corrected for cover as per ref.</t>
    </r>
    <r>
      <rPr>
        <vertAlign val="superscript"/>
        <sz val="9"/>
        <color rgb="FF000000"/>
        <rFont val="Times New Roman"/>
        <family val="1"/>
      </rPr>
      <t>21</t>
    </r>
  </si>
  <si>
    <r>
      <t>ref.</t>
    </r>
    <r>
      <rPr>
        <vertAlign val="superscript"/>
        <sz val="9"/>
        <color rgb="FF000000"/>
        <rFont val="Times New Roman"/>
        <family val="1"/>
      </rPr>
      <t>21</t>
    </r>
  </si>
  <si>
    <r>
      <t>ref.</t>
    </r>
    <r>
      <rPr>
        <vertAlign val="superscript"/>
        <sz val="9"/>
        <color rgb="FF000000"/>
        <rFont val="Times New Roman"/>
        <family val="1"/>
      </rPr>
      <t>21</t>
    </r>
    <r>
      <rPr>
        <sz val="11"/>
        <color theme="1"/>
        <rFont val="Calibri"/>
        <family val="2"/>
        <scheme val="minor"/>
      </rPr>
      <t/>
    </r>
  </si>
  <si>
    <r>
      <t>no data as outlined in ref.</t>
    </r>
    <r>
      <rPr>
        <vertAlign val="superscript"/>
        <sz val="9"/>
        <color rgb="FF000000"/>
        <rFont val="Times New Roman"/>
        <family val="1"/>
      </rPr>
      <t>24</t>
    </r>
    <r>
      <rPr>
        <sz val="9"/>
        <color rgb="FF000000"/>
        <rFont val="Times New Roman"/>
        <family val="1"/>
      </rPr>
      <t>; estimate based on manure data</t>
    </r>
  </si>
  <si>
    <r>
      <t>ref.</t>
    </r>
    <r>
      <rPr>
        <vertAlign val="superscript"/>
        <sz val="9"/>
        <color rgb="FF000000"/>
        <rFont val="Times New Roman"/>
        <family val="1"/>
      </rPr>
      <t>19</t>
    </r>
    <r>
      <rPr>
        <sz val="9"/>
        <color rgb="FF000000"/>
        <rFont val="Times New Roman"/>
        <family val="1"/>
      </rPr>
      <t>, as corrected for cover as per ref.</t>
    </r>
    <r>
      <rPr>
        <vertAlign val="superscript"/>
        <sz val="9"/>
        <color rgb="FF000000"/>
        <rFont val="Times New Roman"/>
        <family val="1"/>
      </rPr>
      <t>21</t>
    </r>
  </si>
  <si>
    <r>
      <t>refs.</t>
    </r>
    <r>
      <rPr>
        <vertAlign val="superscript"/>
        <sz val="9"/>
        <color rgb="FF000000"/>
        <rFont val="Times New Roman"/>
        <family val="1"/>
      </rPr>
      <t>21-23, 25</t>
    </r>
  </si>
  <si>
    <r>
      <t>ref.</t>
    </r>
    <r>
      <rPr>
        <vertAlign val="superscript"/>
        <sz val="9"/>
        <color rgb="FF000000"/>
        <rFont val="Times New Roman"/>
        <family val="1"/>
      </rPr>
      <t>59</t>
    </r>
  </si>
  <si>
    <r>
      <t>ref.</t>
    </r>
    <r>
      <rPr>
        <vertAlign val="superscript"/>
        <sz val="9"/>
        <color rgb="FF000000"/>
        <rFont val="Times New Roman"/>
        <family val="1"/>
      </rPr>
      <t>60</t>
    </r>
  </si>
  <si>
    <r>
      <t>ref.</t>
    </r>
    <r>
      <rPr>
        <vertAlign val="superscript"/>
        <sz val="9"/>
        <color rgb="FF000000"/>
        <rFont val="Times New Roman"/>
        <family val="1"/>
      </rPr>
      <t>61</t>
    </r>
  </si>
  <si>
    <r>
      <t>ref.</t>
    </r>
    <r>
      <rPr>
        <vertAlign val="superscript"/>
        <sz val="9"/>
        <color rgb="FF000000"/>
        <rFont val="Times New Roman"/>
        <family val="1"/>
      </rPr>
      <t>62</t>
    </r>
  </si>
  <si>
    <t>ref. 12</t>
  </si>
  <si>
    <r>
      <t>ref.</t>
    </r>
    <r>
      <rPr>
        <vertAlign val="superscript"/>
        <sz val="9"/>
        <color rgb="FF000000"/>
        <rFont val="Times New Roman"/>
        <family val="1"/>
      </rPr>
      <t>50</t>
    </r>
  </si>
  <si>
    <r>
      <t>ref.</t>
    </r>
    <r>
      <rPr>
        <vertAlign val="superscript"/>
        <sz val="9"/>
        <color rgb="FF000000"/>
        <rFont val="Times New Roman"/>
        <family val="1"/>
      </rPr>
      <t>53</t>
    </r>
  </si>
  <si>
    <r>
      <t>ref.</t>
    </r>
    <r>
      <rPr>
        <vertAlign val="superscript"/>
        <sz val="9"/>
        <color rgb="FF000000"/>
        <rFont val="Times New Roman"/>
        <family val="1"/>
      </rPr>
      <t>52</t>
    </r>
  </si>
  <si>
    <r>
      <t>ref.</t>
    </r>
    <r>
      <rPr>
        <vertAlign val="superscript"/>
        <sz val="9"/>
        <color rgb="FF000000"/>
        <rFont val="Times New Roman"/>
        <family val="1"/>
      </rPr>
      <t>51</t>
    </r>
  </si>
  <si>
    <r>
      <t>Urea (24.5%), AN (27%), CAN (33%), Urea-AN (15.5%)</t>
    </r>
    <r>
      <rPr>
        <vertAlign val="superscript"/>
        <sz val="9"/>
        <color rgb="FF000000"/>
        <rFont val="Times New Roman"/>
        <family val="1"/>
      </rPr>
      <t xml:space="preserve"> </t>
    </r>
    <r>
      <rPr>
        <sz val="9"/>
        <color rgb="FF000000"/>
        <rFont val="Times New Roman"/>
        <family val="1"/>
      </rPr>
      <t/>
    </r>
  </si>
  <si>
    <r>
      <t>ref.</t>
    </r>
    <r>
      <rPr>
        <vertAlign val="superscript"/>
        <sz val="9"/>
        <color rgb="FF000000"/>
        <rFont val="Times New Roman"/>
        <family val="1"/>
      </rPr>
      <t>57</t>
    </r>
  </si>
  <si>
    <t>Own calculation based on scenario R (SSP production and transport)</t>
  </si>
  <si>
    <r>
      <t>P</t>
    </r>
    <r>
      <rPr>
        <b/>
        <sz val="10"/>
        <color rgb="FF000000"/>
        <rFont val="Times New Roman"/>
        <family val="1"/>
      </rPr>
      <t xml:space="preserve"> concentration of concentrated P-fertiliser (% dry matter)</t>
    </r>
  </si>
  <si>
    <t>NB1</t>
  </si>
  <si>
    <t>NB2</t>
  </si>
  <si>
    <t>NB3</t>
  </si>
  <si>
    <t>NB4</t>
  </si>
  <si>
    <t>NB5</t>
  </si>
  <si>
    <t>NB6</t>
  </si>
  <si>
    <t>RP</t>
  </si>
  <si>
    <t>AP1</t>
  </si>
  <si>
    <t>AP2</t>
  </si>
  <si>
    <t>AP3</t>
  </si>
  <si>
    <t>AP4</t>
  </si>
  <si>
    <t>AP5</t>
  </si>
  <si>
    <t>AP6</t>
  </si>
  <si>
    <t>CF1</t>
  </si>
  <si>
    <t>CF2</t>
  </si>
  <si>
    <t>CF3</t>
  </si>
  <si>
    <t>CF4</t>
  </si>
  <si>
    <t>CF5</t>
  </si>
  <si>
    <t>CF6</t>
  </si>
  <si>
    <t>AP1, AP2, AP3, AP4, AP5, RP</t>
  </si>
  <si>
    <t>AP1, CF1, CF3, CF4</t>
  </si>
  <si>
    <t>AP6, CF6</t>
  </si>
  <si>
    <r>
      <rPr>
        <sz val="10"/>
        <color rgb="FF000000"/>
        <rFont val="Calibri"/>
        <family val="2"/>
      </rPr>
      <t>γ</t>
    </r>
    <r>
      <rPr>
        <sz val="10"/>
        <color rgb="FF000000"/>
        <rFont val="Times New Roman"/>
        <family val="1"/>
      </rPr>
      <t xml:space="preserve"> Electricity recovery efficiency 15.1%.</t>
    </r>
  </si>
  <si>
    <t>ref. 4 for NB2, NB5, and NB6, refs. 5-8 NB1, NB3, and NB4, and ref. 9 for RP</t>
  </si>
  <si>
    <t>Storage digestate (advanced scenario - AP)</t>
  </si>
  <si>
    <t>Storage digestate (Current-day feedstock - CF)</t>
  </si>
  <si>
    <t>UOL Digestate (Advanced scenario - AP)</t>
  </si>
  <si>
    <t>UOL Digestate (current-day feedstock - CF)</t>
  </si>
  <si>
    <t>UOL concentrated P-fertiliser (Advanced scenario - AP)</t>
  </si>
  <si>
    <t>Climate Change</t>
  </si>
  <si>
    <t>Particulate Matter</t>
  </si>
  <si>
    <t>Freshwater Eutrophication - aquatic</t>
  </si>
  <si>
    <t>Marine Eutrophication - aquatic</t>
  </si>
  <si>
    <t>Ecotoxicity</t>
  </si>
  <si>
    <t>Human Toxicity - non-cancer</t>
  </si>
  <si>
    <t>Human Toxicity - cancer</t>
  </si>
  <si>
    <t>Terrestrial Acidification</t>
  </si>
  <si>
    <t>External Cost</t>
  </si>
  <si>
    <t>Societal Life Cycle Cost</t>
  </si>
  <si>
    <t>Rock Phosphate Depletion</t>
  </si>
  <si>
    <t>Conventional Life Cycle Cost</t>
  </si>
  <si>
    <t>Functional unit</t>
  </si>
  <si>
    <t>Type of input material applied</t>
  </si>
  <si>
    <t>Total weight of input material applied (kg)</t>
  </si>
  <si>
    <t>Type of concentrated P-fertiliser</t>
  </si>
  <si>
    <t>Methane potential, raw biomass</t>
  </si>
  <si>
    <t>Nm3 CH4/t ww</t>
  </si>
  <si>
    <t>Default</t>
  </si>
  <si>
    <t>Number (#)</t>
  </si>
  <si>
    <t>UOL RAW  biomass (Current-day feedstock - CF)</t>
  </si>
  <si>
    <t>UOL Liquid Fraction (Current-day feedstock - CF and Advanced scenario - AP)</t>
  </si>
  <si>
    <t>Storage RAW biomass (Current-day feedstock - CF)</t>
  </si>
  <si>
    <t>Storage liquid fraction (Current-day feedstock - CF and Advanced scenario - AP)</t>
  </si>
  <si>
    <t>C_seq_RAW</t>
  </si>
  <si>
    <t>C sequestration over 100y</t>
  </si>
  <si>
    <t>% C applied</t>
  </si>
  <si>
    <t>C_seq_LF</t>
  </si>
  <si>
    <t>C_seq_dig</t>
  </si>
  <si>
    <t>kg N/kg N applied dig</t>
  </si>
  <si>
    <t>kg P/kg P applied dig</t>
  </si>
  <si>
    <t>kg K/kg K applied dig</t>
  </si>
  <si>
    <t>C_seq_dig_REF</t>
  </si>
  <si>
    <t>C_seq_Pfert</t>
  </si>
  <si>
    <t>km transport of RAW feedstock in the Advanced scenario - AP</t>
  </si>
  <si>
    <t>km transport of RAW feedstock in the current-day feedstock - CF</t>
  </si>
  <si>
    <t>Storage (solid) digestate fraction (AP scenario) cost</t>
  </si>
  <si>
    <t>Storage (solid) digestate fraction (CF scenario) cost</t>
  </si>
  <si>
    <t>Default values based on primary data; range based on ref. 10</t>
  </si>
  <si>
    <t>Based on primary data and ranges provided in ref. 10</t>
  </si>
  <si>
    <t>Sum of Abs values</t>
  </si>
  <si>
    <t>η Annualised (Eq. 1 in Supplementary Methods) and divided by the annual usage rate (Eq. 2 in Supplementary Methods).</t>
  </si>
  <si>
    <t>α Annualised (Eq. 1 in Supplementary Methods) and divided by the annual usage rate (Eq. 2 in Supplementary Methods)</t>
  </si>
  <si>
    <t>β Annualised (Eq. 1 in Supplementary Methods) and divided by the annual usage rate (Eq. 2 in Supplementary Methods).</t>
  </si>
  <si>
    <t>ζ Annualised (Eq. 1 in Supplementary Methods) and divided by the annual usage rate (Eq. 2 in Supplementary Methods).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</si>
</sst>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
    <numFmt numFmtId="165" formatCode="0.0000"/>
    <numFmt numFmtId="166" formatCode="0.000"/>
    <numFmt numFmtId="167" formatCode="0.0E+00"/>
    <numFmt numFmtId="168" formatCode="0.000000000000000%"/>
  </numFmts>
  <fonts count="23" x14ac:knownFonts="1">
    <font>
      <sz val="11"/>
      <color theme="1"/>
      <name val="Calibri"/>
      <family val="2"/>
      <scheme val="minor"/>
    </font>
    <font>
      <b/>
      <i/>
      <sz val="9"/>
      <color rgb="FF000000"/>
      <name val="Times New Roman"/>
      <family val="1"/>
    </font>
    <font>
      <sz val="9"/>
      <color rgb="FF000000"/>
      <name val="Times New Roman"/>
      <family val="1"/>
    </font>
    <font>
      <b/>
      <sz val="9"/>
      <color rgb="FF000000"/>
      <name val="Times New Roman"/>
      <family val="1"/>
    </font>
    <font>
      <sz val="9"/>
      <color theme="1"/>
      <name val="Times New Roman"/>
      <family val="1"/>
    </font>
    <font>
      <sz val="8"/>
      <color theme="1"/>
      <name val="Times New Roman"/>
      <family val="1"/>
    </font>
    <font>
      <sz val="10"/>
      <color theme="1"/>
      <name val="Times New Roman"/>
      <family val="1"/>
    </font>
    <font>
      <b/>
      <sz val="10"/>
      <color rgb="FF000000"/>
      <name val="Times New Roman"/>
      <family val="1"/>
    </font>
    <font>
      <sz val="10"/>
      <color rgb="FF000000"/>
      <name val="Times New Roman"/>
      <family val="1"/>
    </font>
    <font>
      <vertAlign val="subscript"/>
      <sz val="10"/>
      <color rgb="FF000000"/>
      <name val="Times New Roman"/>
      <family val="1"/>
    </font>
    <font>
      <vertAlign val="superscript"/>
      <sz val="10"/>
      <color rgb="FF000000"/>
      <name val="Times New Roman"/>
      <family val="1"/>
    </font>
    <font>
      <b/>
      <i/>
      <sz val="10"/>
      <color rgb="FF000000"/>
      <name val="Times New Roman"/>
      <family val="1"/>
    </font>
    <font>
      <sz val="8"/>
      <color rgb="FF000000"/>
      <name val="Times New Roman"/>
      <family val="1"/>
    </font>
    <font>
      <vertAlign val="superscript"/>
      <sz val="9"/>
      <color theme="1"/>
      <name val="Times New Roman"/>
      <family val="1"/>
    </font>
    <font>
      <vertAlign val="superscript"/>
      <sz val="9"/>
      <color rgb="FF000000"/>
      <name val="Times New Roman"/>
      <family val="1"/>
    </font>
    <font>
      <sz val="9"/>
      <color rgb="FF000000"/>
      <name val="Trebuchet MS"/>
      <family val="2"/>
    </font>
    <font>
      <b/>
      <sz val="10"/>
      <color theme="1"/>
      <name val="Times New Roman"/>
      <family val="1"/>
    </font>
    <font>
      <sz val="10"/>
      <name val="Arial"/>
      <family val="2"/>
    </font>
    <font>
      <sz val="11"/>
      <color rgb="FFFF0000"/>
      <name val="Calibri"/>
      <family val="2"/>
      <scheme val="minor"/>
    </font>
    <font>
      <b/>
      <sz val="11"/>
      <color theme="1"/>
      <name val="Calibri"/>
      <family val="2"/>
      <scheme val="minor"/>
    </font>
    <font>
      <sz val="10"/>
      <color rgb="FF000000"/>
      <name val="Calibri"/>
      <family val="2"/>
    </font>
    <font>
      <b/>
      <sz val="9"/>
      <color theme="1"/>
      <name val="Times New Roman"/>
      <family val="1"/>
    </font>
    <font>
      <b/>
      <i/>
      <sz val="11"/>
      <color theme="1"/>
      <name val="Calibri"/>
      <family val="2"/>
      <scheme val="minor"/>
    </font>
  </fonts>
  <fills count="7">
    <fill>
      <patternFill patternType="none"/>
    </fill>
    <fill>
      <patternFill patternType="gray125"/>
    </fill>
    <fill>
      <patternFill patternType="solid">
        <fgColor rgb="FFFFFFFF"/>
        <bgColor indexed="64"/>
      </patternFill>
    </fill>
    <fill>
      <patternFill patternType="solid">
        <fgColor theme="0" tint="-0.14999847407452621"/>
        <bgColor indexed="64"/>
      </patternFill>
    </fill>
    <fill>
      <patternFill patternType="solid">
        <fgColor theme="0"/>
        <bgColor indexed="64"/>
      </patternFill>
    </fill>
    <fill>
      <patternFill patternType="solid">
        <fgColor theme="8" tint="0.59999389629810485"/>
        <bgColor indexed="64"/>
      </patternFill>
    </fill>
    <fill>
      <patternFill patternType="solid">
        <fgColor theme="0" tint="-0.499984740745262"/>
        <bgColor indexed="64"/>
      </patternFill>
    </fill>
  </fills>
  <borders count="9">
    <border>
      <left/>
      <right/>
      <top/>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s>
  <cellStyleXfs count="2">
    <xf numFmtId="0" fontId="0" fillId="0" borderId="0"/>
    <xf numFmtId="0" fontId="17" fillId="0" borderId="0"/>
  </cellStyleXfs>
  <cellXfs count="144">
    <xf numFmtId="0" fontId="0" fillId="0" borderId="0" xfId="0"/>
    <xf numFmtId="0" fontId="5" fillId="0" borderId="0" xfId="0" applyFont="1" applyAlignment="1">
      <alignment vertical="center"/>
    </xf>
    <xf numFmtId="0" fontId="8" fillId="0" borderId="1" xfId="0" applyFont="1" applyFill="1" applyBorder="1" applyAlignment="1">
      <alignment vertical="center"/>
    </xf>
    <xf numFmtId="0" fontId="0" fillId="0" borderId="0" xfId="0" applyFill="1" applyBorder="1" applyAlignment="1">
      <alignment horizontal="left"/>
    </xf>
    <xf numFmtId="0" fontId="0" fillId="0" borderId="0" xfId="0" applyFill="1" applyBorder="1"/>
    <xf numFmtId="0" fontId="1" fillId="0" borderId="2" xfId="0" applyFont="1" applyBorder="1" applyAlignment="1">
      <alignment vertical="center"/>
    </xf>
    <xf numFmtId="0" fontId="2" fillId="0" borderId="2" xfId="0" applyFont="1" applyBorder="1" applyAlignment="1">
      <alignment vertical="center"/>
    </xf>
    <xf numFmtId="0" fontId="3" fillId="0" borderId="2" xfId="0" applyFont="1" applyBorder="1" applyAlignment="1">
      <alignment horizontal="center" vertical="center"/>
    </xf>
    <xf numFmtId="0" fontId="2" fillId="0" borderId="2" xfId="0" applyFont="1" applyBorder="1" applyAlignment="1">
      <alignment horizontal="right" vertical="center"/>
    </xf>
    <xf numFmtId="0" fontId="3" fillId="0" borderId="2" xfId="0" applyFont="1" applyBorder="1" applyAlignment="1">
      <alignment horizontal="right" vertical="center"/>
    </xf>
    <xf numFmtId="0" fontId="4" fillId="0" borderId="2" xfId="0" applyFont="1" applyBorder="1" applyAlignment="1">
      <alignment vertical="center"/>
    </xf>
    <xf numFmtId="0" fontId="0" fillId="0" borderId="2" xfId="0" applyBorder="1" applyAlignment="1">
      <alignment vertical="center"/>
    </xf>
    <xf numFmtId="0" fontId="3" fillId="0" borderId="2" xfId="0" applyFont="1" applyBorder="1" applyAlignment="1">
      <alignment vertical="center"/>
    </xf>
    <xf numFmtId="11" fontId="2" fillId="0" borderId="2" xfId="0" applyNumberFormat="1" applyFont="1" applyBorder="1" applyAlignment="1">
      <alignment horizontal="right" vertical="center"/>
    </xf>
    <xf numFmtId="10" fontId="2" fillId="0" borderId="2" xfId="0" applyNumberFormat="1" applyFont="1" applyBorder="1" applyAlignment="1">
      <alignment horizontal="right" vertical="center"/>
    </xf>
    <xf numFmtId="0" fontId="7" fillId="0" borderId="2" xfId="0" applyFont="1" applyBorder="1" applyAlignment="1">
      <alignment horizontal="right" vertical="center"/>
    </xf>
    <xf numFmtId="0" fontId="7" fillId="0" borderId="2" xfId="0" applyFont="1" applyBorder="1" applyAlignment="1">
      <alignment horizontal="right" vertical="center" wrapText="1"/>
    </xf>
    <xf numFmtId="0" fontId="8" fillId="0" borderId="2" xfId="0" applyFont="1" applyBorder="1" applyAlignment="1">
      <alignment vertical="center"/>
    </xf>
    <xf numFmtId="0" fontId="8" fillId="0" borderId="2" xfId="0" applyFont="1" applyBorder="1" applyAlignment="1">
      <alignment vertical="center" wrapText="1"/>
    </xf>
    <xf numFmtId="0" fontId="8" fillId="0" borderId="2" xfId="0" applyFont="1" applyBorder="1" applyAlignment="1">
      <alignment horizontal="right" vertical="center"/>
    </xf>
    <xf numFmtId="0" fontId="8" fillId="0" borderId="2" xfId="0" applyFont="1" applyBorder="1" applyAlignment="1">
      <alignment horizontal="right" vertical="center" wrapText="1"/>
    </xf>
    <xf numFmtId="0" fontId="6" fillId="0" borderId="2" xfId="0" applyFont="1" applyBorder="1" applyAlignment="1">
      <alignment horizontal="right" vertical="center" wrapText="1"/>
    </xf>
    <xf numFmtId="11" fontId="8" fillId="0" borderId="2" xfId="0" applyNumberFormat="1" applyFont="1" applyBorder="1" applyAlignment="1">
      <alignment horizontal="right" vertical="center"/>
    </xf>
    <xf numFmtId="11" fontId="8" fillId="0" borderId="2" xfId="0" applyNumberFormat="1" applyFont="1" applyBorder="1" applyAlignment="1">
      <alignment horizontal="right" vertical="center" wrapText="1"/>
    </xf>
    <xf numFmtId="0" fontId="11" fillId="0" borderId="2" xfId="0" applyFont="1" applyBorder="1" applyAlignment="1">
      <alignment vertical="center"/>
    </xf>
    <xf numFmtId="3" fontId="8" fillId="0" borderId="2" xfId="0" applyNumberFormat="1" applyFont="1" applyBorder="1" applyAlignment="1">
      <alignment horizontal="right" vertical="center"/>
    </xf>
    <xf numFmtId="164" fontId="8" fillId="0" borderId="2" xfId="0" applyNumberFormat="1" applyFont="1" applyBorder="1" applyAlignment="1">
      <alignment horizontal="right" vertical="center"/>
    </xf>
    <xf numFmtId="165" fontId="8" fillId="0" borderId="2" xfId="0" applyNumberFormat="1" applyFont="1" applyBorder="1" applyAlignment="1">
      <alignment horizontal="right" vertical="center"/>
    </xf>
    <xf numFmtId="0" fontId="12" fillId="0" borderId="2" xfId="0" applyFont="1" applyBorder="1" applyAlignment="1">
      <alignment vertical="center"/>
    </xf>
    <xf numFmtId="0" fontId="7" fillId="0" borderId="2" xfId="0" applyFont="1" applyBorder="1" applyAlignment="1">
      <alignment vertical="center"/>
    </xf>
    <xf numFmtId="3" fontId="8" fillId="0" borderId="2" xfId="0" applyNumberFormat="1" applyFont="1" applyBorder="1" applyAlignment="1">
      <alignment horizontal="right" vertical="center" wrapText="1"/>
    </xf>
    <xf numFmtId="4" fontId="8" fillId="0" borderId="2" xfId="0" applyNumberFormat="1" applyFont="1" applyBorder="1" applyAlignment="1">
      <alignment horizontal="right" vertical="center"/>
    </xf>
    <xf numFmtId="0" fontId="3" fillId="0" borderId="2" xfId="0" applyFont="1" applyBorder="1" applyAlignment="1">
      <alignment vertical="center" wrapText="1"/>
    </xf>
    <xf numFmtId="0" fontId="7" fillId="0" borderId="2" xfId="0" applyFont="1" applyBorder="1" applyAlignment="1">
      <alignment vertical="center" wrapText="1"/>
    </xf>
    <xf numFmtId="0" fontId="2" fillId="0" borderId="2" xfId="0" applyFont="1" applyBorder="1" applyAlignment="1">
      <alignment vertical="center" wrapText="1"/>
    </xf>
    <xf numFmtId="0" fontId="15" fillId="0" borderId="2" xfId="0" applyFont="1" applyBorder="1" applyAlignment="1">
      <alignment vertical="center" wrapText="1"/>
    </xf>
    <xf numFmtId="10" fontId="8" fillId="0" borderId="2" xfId="0" applyNumberFormat="1" applyFont="1" applyBorder="1" applyAlignment="1">
      <alignment horizontal="right" vertical="center"/>
    </xf>
    <xf numFmtId="9" fontId="8" fillId="0" borderId="2" xfId="0" applyNumberFormat="1" applyFont="1" applyBorder="1" applyAlignment="1">
      <alignment horizontal="right" vertical="center"/>
    </xf>
    <xf numFmtId="0" fontId="3" fillId="0" borderId="2" xfId="0" applyFont="1" applyBorder="1" applyAlignment="1">
      <alignment horizontal="center" vertical="center"/>
    </xf>
    <xf numFmtId="0" fontId="7" fillId="0" borderId="2" xfId="0" applyFont="1" applyBorder="1" applyAlignment="1">
      <alignment vertical="center" wrapText="1"/>
    </xf>
    <xf numFmtId="0" fontId="8" fillId="0" borderId="2" xfId="0" applyFont="1" applyBorder="1" applyAlignment="1">
      <alignment vertical="center"/>
    </xf>
    <xf numFmtId="0" fontId="8" fillId="0" borderId="2" xfId="0" applyFont="1" applyBorder="1" applyAlignment="1">
      <alignment horizontal="right" vertical="center"/>
    </xf>
    <xf numFmtId="0" fontId="2" fillId="0" borderId="2" xfId="0" applyFont="1" applyBorder="1" applyAlignment="1">
      <alignment horizontal="center" vertical="center"/>
    </xf>
    <xf numFmtId="0" fontId="7" fillId="0" borderId="2" xfId="0" applyFont="1" applyBorder="1" applyAlignment="1">
      <alignment horizontal="center" vertical="center" wrapText="1"/>
    </xf>
    <xf numFmtId="0" fontId="6" fillId="0" borderId="2" xfId="0" applyFont="1" applyBorder="1" applyAlignment="1">
      <alignment vertical="center" wrapText="1"/>
    </xf>
    <xf numFmtId="0" fontId="8" fillId="0" borderId="2" xfId="0" applyFont="1" applyBorder="1" applyAlignment="1">
      <alignment horizontal="center" vertical="center"/>
    </xf>
    <xf numFmtId="0" fontId="6" fillId="0" borderId="0" xfId="0" applyFont="1"/>
    <xf numFmtId="0" fontId="6" fillId="0" borderId="2" xfId="0" applyFont="1" applyBorder="1"/>
    <xf numFmtId="164" fontId="8" fillId="0" borderId="2" xfId="0" applyNumberFormat="1" applyFont="1" applyBorder="1" applyAlignment="1">
      <alignment horizontal="right" vertical="center" wrapText="1"/>
    </xf>
    <xf numFmtId="1" fontId="8" fillId="0" borderId="2" xfId="0" applyNumberFormat="1" applyFont="1" applyBorder="1" applyAlignment="1">
      <alignment horizontal="right" vertical="center"/>
    </xf>
    <xf numFmtId="1" fontId="8" fillId="0" borderId="2" xfId="0" applyNumberFormat="1" applyFont="1" applyBorder="1" applyAlignment="1">
      <alignment horizontal="right" vertical="center" wrapText="1"/>
    </xf>
    <xf numFmtId="1" fontId="0" fillId="0" borderId="0" xfId="0" applyNumberFormat="1"/>
    <xf numFmtId="0" fontId="3" fillId="0" borderId="0" xfId="0" applyFont="1" applyBorder="1" applyAlignment="1">
      <alignment horizontal="right" vertical="center"/>
    </xf>
    <xf numFmtId="0" fontId="2" fillId="0" borderId="0" xfId="0" applyFont="1" applyBorder="1" applyAlignment="1">
      <alignment horizontal="right" vertical="center"/>
    </xf>
    <xf numFmtId="0" fontId="0" fillId="0" borderId="0" xfId="0" applyBorder="1"/>
    <xf numFmtId="0" fontId="2" fillId="2" borderId="2" xfId="0" applyFont="1" applyFill="1" applyBorder="1" applyAlignment="1">
      <alignment vertical="center"/>
    </xf>
    <xf numFmtId="0" fontId="2" fillId="0" borderId="2" xfId="0" applyFont="1" applyFill="1" applyBorder="1" applyAlignment="1">
      <alignment vertical="center"/>
    </xf>
    <xf numFmtId="0" fontId="2" fillId="0" borderId="2" xfId="0" applyFont="1" applyFill="1" applyBorder="1" applyAlignment="1">
      <alignment horizontal="center" vertical="center"/>
    </xf>
    <xf numFmtId="0" fontId="3" fillId="0" borderId="8" xfId="0" applyFont="1" applyFill="1" applyBorder="1" applyAlignment="1">
      <alignment horizontal="center" vertical="center"/>
    </xf>
    <xf numFmtId="0" fontId="2" fillId="0" borderId="2" xfId="0" applyFont="1" applyFill="1" applyBorder="1" applyAlignment="1">
      <alignment horizontal="left" vertical="center"/>
    </xf>
    <xf numFmtId="0" fontId="7" fillId="0" borderId="2" xfId="0" applyFont="1" applyBorder="1" applyAlignment="1">
      <alignment vertical="center" wrapText="1"/>
    </xf>
    <xf numFmtId="0" fontId="16" fillId="0" borderId="2" xfId="0" applyFont="1" applyFill="1" applyBorder="1" applyAlignment="1">
      <alignment horizontal="left"/>
    </xf>
    <xf numFmtId="0" fontId="16" fillId="0" borderId="2" xfId="0" applyFont="1" applyFill="1" applyBorder="1"/>
    <xf numFmtId="0" fontId="16" fillId="4" borderId="2" xfId="0" applyFont="1" applyFill="1" applyBorder="1" applyAlignment="1">
      <alignment horizontal="center"/>
    </xf>
    <xf numFmtId="0" fontId="16" fillId="3" borderId="2" xfId="0" applyFont="1" applyFill="1" applyBorder="1" applyAlignment="1">
      <alignment horizontal="right"/>
    </xf>
    <xf numFmtId="0" fontId="16" fillId="4" borderId="2" xfId="0" applyFont="1" applyFill="1" applyBorder="1" applyAlignment="1">
      <alignment horizontal="right"/>
    </xf>
    <xf numFmtId="0" fontId="16" fillId="5" borderId="2" xfId="0" applyFont="1" applyFill="1" applyBorder="1" applyAlignment="1">
      <alignment horizontal="left"/>
    </xf>
    <xf numFmtId="0" fontId="6" fillId="5" borderId="2" xfId="0" applyFont="1" applyFill="1" applyBorder="1"/>
    <xf numFmtId="0" fontId="6" fillId="0" borderId="2" xfId="0" applyFont="1" applyFill="1" applyBorder="1" applyAlignment="1">
      <alignment horizontal="left"/>
    </xf>
    <xf numFmtId="0" fontId="6" fillId="0" borderId="2" xfId="0" applyFont="1" applyFill="1" applyBorder="1"/>
    <xf numFmtId="166" fontId="6" fillId="3" borderId="2" xfId="0" applyNumberFormat="1" applyFont="1" applyFill="1" applyBorder="1"/>
    <xf numFmtId="166" fontId="6" fillId="4" borderId="2" xfId="0" applyNumberFormat="1" applyFont="1" applyFill="1" applyBorder="1"/>
    <xf numFmtId="0" fontId="6" fillId="4" borderId="2" xfId="0" applyFont="1" applyFill="1" applyBorder="1"/>
    <xf numFmtId="166" fontId="6" fillId="0" borderId="2" xfId="0" applyNumberFormat="1" applyFont="1" applyFill="1" applyBorder="1"/>
    <xf numFmtId="166" fontId="6" fillId="5" borderId="2" xfId="0" applyNumberFormat="1" applyFont="1" applyFill="1" applyBorder="1"/>
    <xf numFmtId="0" fontId="16" fillId="4" borderId="2" xfId="0" applyFont="1" applyFill="1" applyBorder="1" applyAlignment="1">
      <alignment horizontal="left"/>
    </xf>
    <xf numFmtId="166" fontId="0" fillId="0" borderId="0" xfId="0" applyNumberFormat="1" applyFill="1" applyBorder="1"/>
    <xf numFmtId="166" fontId="6" fillId="0" borderId="0" xfId="0" applyNumberFormat="1" applyFont="1" applyFill="1" applyBorder="1"/>
    <xf numFmtId="0" fontId="8" fillId="0" borderId="2" xfId="0" applyFont="1" applyBorder="1" applyAlignment="1">
      <alignment vertical="center"/>
    </xf>
    <xf numFmtId="10" fontId="2" fillId="0" borderId="2" xfId="0" applyNumberFormat="1" applyFont="1" applyFill="1" applyBorder="1" applyAlignment="1">
      <alignment horizontal="right" vertical="center"/>
    </xf>
    <xf numFmtId="9" fontId="2" fillId="0" borderId="2" xfId="0" applyNumberFormat="1" applyFont="1" applyBorder="1" applyAlignment="1">
      <alignment horizontal="right" vertical="center"/>
    </xf>
    <xf numFmtId="0" fontId="0" fillId="0" borderId="0" xfId="0" applyAlignment="1"/>
    <xf numFmtId="0" fontId="2" fillId="0" borderId="2" xfId="0" applyFont="1" applyBorder="1" applyAlignment="1">
      <alignment horizontal="left" vertical="center" wrapText="1"/>
    </xf>
    <xf numFmtId="0" fontId="8" fillId="0" borderId="2" xfId="0" applyFont="1" applyBorder="1" applyAlignment="1">
      <alignment vertical="center"/>
    </xf>
    <xf numFmtId="164" fontId="0" fillId="0" borderId="0" xfId="0" applyNumberFormat="1"/>
    <xf numFmtId="11" fontId="8" fillId="0" borderId="2" xfId="0" applyNumberFormat="1" applyFont="1" applyFill="1" applyBorder="1" applyAlignment="1">
      <alignment horizontal="right" vertical="center"/>
    </xf>
    <xf numFmtId="167" fontId="6" fillId="0" borderId="2" xfId="0" applyNumberFormat="1" applyFont="1" applyFill="1" applyBorder="1"/>
    <xf numFmtId="167" fontId="6" fillId="3" borderId="2" xfId="0" applyNumberFormat="1" applyFont="1" applyFill="1" applyBorder="1"/>
    <xf numFmtId="167" fontId="6" fillId="4" borderId="2" xfId="0" applyNumberFormat="1" applyFont="1" applyFill="1" applyBorder="1"/>
    <xf numFmtId="164" fontId="0" fillId="0" borderId="0" xfId="0" applyNumberFormat="1" applyBorder="1"/>
    <xf numFmtId="1" fontId="0" fillId="0" borderId="0" xfId="0" applyNumberFormat="1" applyBorder="1"/>
    <xf numFmtId="0" fontId="16" fillId="0" borderId="2" xfId="0" applyFont="1" applyBorder="1" applyAlignment="1">
      <alignment horizontal="right"/>
    </xf>
    <xf numFmtId="0" fontId="7" fillId="0" borderId="0" xfId="0" applyFont="1" applyFill="1" applyBorder="1" applyAlignment="1">
      <alignment horizontal="center" vertical="center" wrapText="1"/>
    </xf>
    <xf numFmtId="0" fontId="8" fillId="0" borderId="2" xfId="0" applyFont="1" applyFill="1" applyBorder="1" applyAlignment="1">
      <alignment horizontal="center" vertical="center"/>
    </xf>
    <xf numFmtId="164" fontId="8" fillId="0" borderId="2" xfId="0" applyNumberFormat="1" applyFont="1" applyFill="1" applyBorder="1" applyAlignment="1">
      <alignment horizontal="right" vertical="center" wrapText="1"/>
    </xf>
    <xf numFmtId="164" fontId="8" fillId="0" borderId="2" xfId="0" applyNumberFormat="1" applyFont="1" applyFill="1" applyBorder="1" applyAlignment="1">
      <alignment horizontal="right" vertical="center"/>
    </xf>
    <xf numFmtId="0" fontId="0" fillId="0" borderId="0" xfId="0" applyFill="1"/>
    <xf numFmtId="0" fontId="18" fillId="0" borderId="0" xfId="0" applyFont="1" applyFill="1"/>
    <xf numFmtId="0" fontId="3" fillId="0" borderId="2" xfId="0" applyFont="1" applyBorder="1" applyAlignment="1">
      <alignment horizontal="center" vertical="center"/>
    </xf>
    <xf numFmtId="0" fontId="8" fillId="0" borderId="2" xfId="0" applyFont="1" applyBorder="1" applyAlignment="1">
      <alignment vertical="center"/>
    </xf>
    <xf numFmtId="0" fontId="8" fillId="0" borderId="2" xfId="0" applyFont="1" applyFill="1" applyBorder="1" applyAlignment="1">
      <alignment horizontal="right" vertical="center"/>
    </xf>
    <xf numFmtId="10" fontId="0" fillId="0" borderId="0" xfId="0" applyNumberFormat="1" applyFill="1"/>
    <xf numFmtId="0" fontId="8" fillId="0" borderId="2" xfId="0" applyFont="1" applyBorder="1" applyAlignment="1">
      <alignment vertical="center"/>
    </xf>
    <xf numFmtId="0" fontId="19" fillId="0" borderId="0" xfId="0" applyFont="1"/>
    <xf numFmtId="0" fontId="19" fillId="0" borderId="0" xfId="0" applyFont="1" applyFill="1" applyBorder="1" applyAlignment="1">
      <alignment horizontal="left"/>
    </xf>
    <xf numFmtId="0" fontId="0" fillId="0" borderId="0" xfId="0" applyFill="1" applyBorder="1" applyAlignment="1">
      <alignment horizontal="right"/>
    </xf>
    <xf numFmtId="0" fontId="19" fillId="0" borderId="2" xfId="0" applyFont="1" applyBorder="1" applyAlignment="1">
      <alignment horizontal="left"/>
    </xf>
    <xf numFmtId="0" fontId="19" fillId="0" borderId="2" xfId="0" applyFont="1" applyBorder="1" applyAlignment="1">
      <alignment horizontal="right"/>
    </xf>
    <xf numFmtId="0" fontId="0" fillId="6" borderId="2" xfId="0" applyFill="1" applyBorder="1" applyAlignment="1">
      <alignment horizontal="right"/>
    </xf>
    <xf numFmtId="9" fontId="0" fillId="0" borderId="2" xfId="0" applyNumberFormat="1" applyBorder="1" applyAlignment="1">
      <alignment horizontal="right"/>
    </xf>
    <xf numFmtId="9" fontId="0" fillId="0" borderId="2" xfId="0" applyNumberFormat="1" applyFill="1" applyBorder="1" applyAlignment="1">
      <alignment horizontal="right"/>
    </xf>
    <xf numFmtId="0" fontId="19" fillId="0" borderId="0" xfId="0" applyFont="1" applyFill="1" applyBorder="1" applyAlignment="1"/>
    <xf numFmtId="0" fontId="19" fillId="0" borderId="0" xfId="0" applyFont="1" applyFill="1" applyBorder="1"/>
    <xf numFmtId="0" fontId="19" fillId="0" borderId="0" xfId="0" applyFont="1" applyFill="1" applyBorder="1" applyAlignment="1">
      <alignment horizontal="right"/>
    </xf>
    <xf numFmtId="0" fontId="21" fillId="0" borderId="2" xfId="0" applyFont="1" applyBorder="1" applyAlignment="1">
      <alignment vertical="center"/>
    </xf>
    <xf numFmtId="9" fontId="0" fillId="0" borderId="0" xfId="0" applyNumberFormat="1" applyFill="1" applyBorder="1" applyAlignment="1">
      <alignment horizontal="right"/>
    </xf>
    <xf numFmtId="0" fontId="8" fillId="0" borderId="2" xfId="0" applyFont="1" applyFill="1" applyBorder="1" applyAlignment="1">
      <alignment vertical="center"/>
    </xf>
    <xf numFmtId="164" fontId="2" fillId="0" borderId="2" xfId="0" applyNumberFormat="1" applyFont="1" applyBorder="1" applyAlignment="1">
      <alignment horizontal="right" vertical="center"/>
    </xf>
    <xf numFmtId="0" fontId="22" fillId="0" borderId="0" xfId="0" applyFont="1" applyFill="1" applyBorder="1" applyAlignment="1">
      <alignment horizontal="right"/>
    </xf>
    <xf numFmtId="0" fontId="22" fillId="0" borderId="0" xfId="0" applyFont="1" applyFill="1" applyBorder="1"/>
    <xf numFmtId="164" fontId="0" fillId="0" borderId="0" xfId="0" applyNumberFormat="1" applyFill="1" applyBorder="1"/>
    <xf numFmtId="1" fontId="0" fillId="0" borderId="0" xfId="0" applyNumberFormat="1" applyFill="1" applyBorder="1"/>
    <xf numFmtId="2" fontId="0" fillId="0" borderId="0" xfId="0" applyNumberFormat="1" applyFill="1" applyBorder="1"/>
    <xf numFmtId="2" fontId="8" fillId="0" borderId="2" xfId="0" applyNumberFormat="1" applyFont="1" applyBorder="1" applyAlignment="1">
      <alignment horizontal="right" vertical="center"/>
    </xf>
    <xf numFmtId="2" fontId="8" fillId="0" borderId="2" xfId="0" applyNumberFormat="1" applyFont="1" applyFill="1" applyBorder="1" applyAlignment="1">
      <alignment horizontal="right" vertical="center"/>
    </xf>
    <xf numFmtId="9" fontId="0" fillId="0" borderId="0" xfId="0" applyNumberFormat="1" applyBorder="1"/>
    <xf numFmtId="10" fontId="0" fillId="0" borderId="0" xfId="0" applyNumberFormat="1" applyBorder="1"/>
    <xf numFmtId="168" fontId="0" fillId="0" borderId="0" xfId="0" applyNumberFormat="1"/>
    <xf numFmtId="0" fontId="16" fillId="3" borderId="3" xfId="0" applyFont="1" applyFill="1" applyBorder="1" applyAlignment="1">
      <alignment horizontal="center"/>
    </xf>
    <xf numFmtId="0" fontId="16" fillId="3" borderId="4" xfId="0" applyFont="1" applyFill="1" applyBorder="1" applyAlignment="1">
      <alignment horizontal="center"/>
    </xf>
    <xf numFmtId="0" fontId="16" fillId="3" borderId="5" xfId="0" applyFont="1" applyFill="1" applyBorder="1" applyAlignment="1">
      <alignment horizontal="center"/>
    </xf>
    <xf numFmtId="0" fontId="16" fillId="4" borderId="3" xfId="0" applyFont="1" applyFill="1" applyBorder="1" applyAlignment="1">
      <alignment horizontal="center"/>
    </xf>
    <xf numFmtId="0" fontId="16" fillId="4" borderId="4" xfId="0" applyFont="1" applyFill="1" applyBorder="1" applyAlignment="1">
      <alignment horizontal="center"/>
    </xf>
    <xf numFmtId="0" fontId="16" fillId="4" borderId="5" xfId="0" applyFont="1" applyFill="1" applyBorder="1" applyAlignment="1">
      <alignment horizontal="center"/>
    </xf>
    <xf numFmtId="0" fontId="8" fillId="0" borderId="2" xfId="0" applyFont="1" applyBorder="1" applyAlignment="1">
      <alignment vertical="center" wrapText="1"/>
    </xf>
    <xf numFmtId="0" fontId="8" fillId="0" borderId="0" xfId="0" applyFont="1" applyBorder="1" applyAlignment="1">
      <alignment vertical="center"/>
    </xf>
    <xf numFmtId="0" fontId="7" fillId="0" borderId="2" xfId="0" applyFont="1" applyBorder="1" applyAlignment="1">
      <alignment vertical="center"/>
    </xf>
    <xf numFmtId="0" fontId="7" fillId="0" borderId="2" xfId="0" applyFont="1" applyBorder="1" applyAlignment="1">
      <alignment vertical="center" wrapText="1"/>
    </xf>
    <xf numFmtId="0" fontId="16" fillId="0" borderId="2" xfId="0" applyFont="1" applyBorder="1" applyAlignment="1">
      <alignment horizont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8" fillId="0" borderId="2" xfId="0" applyFont="1" applyBorder="1" applyAlignment="1">
      <alignment vertical="center"/>
    </xf>
    <xf numFmtId="0" fontId="8" fillId="0" borderId="2" xfId="0" applyFont="1" applyBorder="1" applyAlignment="1">
      <alignment horizontal="right" vertical="center"/>
    </xf>
  </cellXfs>
  <cellStyles count="2">
    <cellStyle name="Normal" xfId="0" builtinId="0"/>
    <cellStyle name="Normal 2" xfId="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17</xdr:col>
      <xdr:colOff>609598</xdr:colOff>
      <xdr:row>1</xdr:row>
      <xdr:rowOff>0</xdr:rowOff>
    </xdr:from>
    <xdr:to>
      <xdr:col>30</xdr:col>
      <xdr:colOff>342900</xdr:colOff>
      <xdr:row>6</xdr:row>
      <xdr:rowOff>19050</xdr:rowOff>
    </xdr:to>
    <xdr:sp macro="" textlink="">
      <xdr:nvSpPr>
        <xdr:cNvPr id="2" name="TextBox 1">
          <a:extLst>
            <a:ext uri="{FF2B5EF4-FFF2-40B4-BE49-F238E27FC236}">
              <a16:creationId xmlns="" xmlns:a16="http://schemas.microsoft.com/office/drawing/2014/main" id="{00000000-0008-0000-0000-000002000000}"/>
            </a:ext>
          </a:extLst>
        </xdr:cNvPr>
        <xdr:cNvSpPr txBox="1"/>
      </xdr:nvSpPr>
      <xdr:spPr>
        <a:xfrm>
          <a:off x="10810873" y="190500"/>
          <a:ext cx="7658102" cy="971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GB" sz="1100" b="0">
              <a:solidFill>
                <a:schemeClr val="dk1"/>
              </a:solidFill>
              <a:effectLst/>
              <a:latin typeface="Times New Roman" panose="02020603050405020304" pitchFamily="18" charset="0"/>
              <a:ea typeface="+mn-ea"/>
              <a:cs typeface="Times New Roman" panose="02020603050405020304" pitchFamily="18" charset="0"/>
            </a:rPr>
            <a:t>Supplementary Table 1. Results</a:t>
          </a:r>
          <a:r>
            <a:rPr lang="en-GB" sz="1100" b="0" baseline="0">
              <a:solidFill>
                <a:schemeClr val="dk1"/>
              </a:solidFill>
              <a:effectLst/>
              <a:latin typeface="Times New Roman" panose="02020603050405020304" pitchFamily="18" charset="0"/>
              <a:ea typeface="+mn-ea"/>
              <a:cs typeface="Times New Roman" panose="02020603050405020304" pitchFamily="18" charset="0"/>
            </a:rPr>
            <a:t> of the discernibility analysis for the impact categories considered in this study (Montecarlo analysis; 1000 iterations) for High population and livestock Density Areas. For each impact category, the percentage indicates the number of occurrences when the scenario in column performed better than the scenario in row. For example, in the category Climate Change, NB1 performed better than NB2 in 93% of the occurrences, better than NB3 in 98% of the occurrences, and better than RP in 100% of the occurrences; na: not applicable. NB: Net Balance (AP-CF). RP: Rock Phosphate.</a:t>
          </a:r>
          <a:endParaRPr lang="en-GB" sz="1100" b="0">
            <a:latin typeface="Times New Roman" panose="02020603050405020304" pitchFamily="18"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95249</xdr:colOff>
      <xdr:row>0</xdr:row>
      <xdr:rowOff>76200</xdr:rowOff>
    </xdr:from>
    <xdr:to>
      <xdr:col>10</xdr:col>
      <xdr:colOff>0</xdr:colOff>
      <xdr:row>2</xdr:row>
      <xdr:rowOff>142875</xdr:rowOff>
    </xdr:to>
    <xdr:sp macro="" textlink="">
      <xdr:nvSpPr>
        <xdr:cNvPr id="2" name="TextBox 1">
          <a:extLst>
            <a:ext uri="{FF2B5EF4-FFF2-40B4-BE49-F238E27FC236}">
              <a16:creationId xmlns="" xmlns:a16="http://schemas.microsoft.com/office/drawing/2014/main" id="{00000000-0008-0000-0100-000002000000}"/>
            </a:ext>
          </a:extLst>
        </xdr:cNvPr>
        <xdr:cNvSpPr txBox="1"/>
      </xdr:nvSpPr>
      <xdr:spPr>
        <a:xfrm>
          <a:off x="95249" y="76200"/>
          <a:ext cx="17240251" cy="447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GB" sz="1100" b="0">
              <a:solidFill>
                <a:schemeClr val="dk1"/>
              </a:solidFill>
              <a:effectLst/>
              <a:latin typeface="Times New Roman" panose="02020603050405020304" pitchFamily="18" charset="0"/>
              <a:ea typeface="+mn-ea"/>
              <a:cs typeface="Times New Roman" panose="02020603050405020304" pitchFamily="18" charset="0"/>
            </a:rPr>
            <a:t>Supplementary Table 2. List of the parameters used for LCA modelling and uncertainty analysis for High population and livestock Density Areas (</a:t>
          </a:r>
          <a:r>
            <a:rPr lang="en-GB" sz="1100">
              <a:solidFill>
                <a:schemeClr val="dk1"/>
              </a:solidFill>
              <a:effectLst/>
              <a:latin typeface="Times New Roman" panose="02020603050405020304" pitchFamily="18" charset="0"/>
              <a:ea typeface="+mn-ea"/>
              <a:cs typeface="Times New Roman" panose="02020603050405020304" pitchFamily="18" charset="0"/>
            </a:rPr>
            <a:t>technical and economic; unit-cost for </a:t>
          </a:r>
          <a:r>
            <a:rPr lang="en-GB" sz="1100" b="0">
              <a:solidFill>
                <a:schemeClr val="dk1"/>
              </a:solidFill>
              <a:effectLst/>
              <a:latin typeface="Times New Roman" panose="02020603050405020304" pitchFamily="18" charset="0"/>
              <a:ea typeface="+mn-ea"/>
              <a:cs typeface="Times New Roman" panose="02020603050405020304" pitchFamily="18" charset="0"/>
            </a:rPr>
            <a:t>market</a:t>
          </a:r>
          <a:r>
            <a:rPr lang="en-GB" sz="1100">
              <a:solidFill>
                <a:schemeClr val="dk1"/>
              </a:solidFill>
              <a:effectLst/>
              <a:latin typeface="Times New Roman" panose="02020603050405020304" pitchFamily="18" charset="0"/>
              <a:ea typeface="+mn-ea"/>
              <a:cs typeface="Times New Roman" panose="02020603050405020304" pitchFamily="18" charset="0"/>
            </a:rPr>
            <a:t> goods are also reported separately in Supplementary</a:t>
          </a:r>
          <a:r>
            <a:rPr lang="en-GB" sz="1100" baseline="0">
              <a:solidFill>
                <a:schemeClr val="dk1"/>
              </a:solidFill>
              <a:effectLst/>
              <a:latin typeface="Times New Roman" panose="02020603050405020304" pitchFamily="18" charset="0"/>
              <a:ea typeface="+mn-ea"/>
              <a:cs typeface="Times New Roman" panose="02020603050405020304" pitchFamily="18" charset="0"/>
            </a:rPr>
            <a:t> </a:t>
          </a:r>
          <a:r>
            <a:rPr lang="en-GB" sz="1100">
              <a:solidFill>
                <a:schemeClr val="dk1"/>
              </a:solidFill>
              <a:effectLst/>
              <a:latin typeface="Times New Roman" panose="02020603050405020304" pitchFamily="18" charset="0"/>
              <a:ea typeface="+mn-ea"/>
              <a:cs typeface="Times New Roman" panose="02020603050405020304" pitchFamily="18" charset="0"/>
            </a:rPr>
            <a:t>Table 20</a:t>
          </a:r>
          <a:r>
            <a:rPr lang="en-GB" sz="1100" b="0">
              <a:solidFill>
                <a:schemeClr val="dk1"/>
              </a:solidFill>
              <a:effectLst/>
              <a:latin typeface="Times New Roman" panose="02020603050405020304" pitchFamily="18" charset="0"/>
              <a:ea typeface="+mn-ea"/>
              <a:cs typeface="Times New Roman" panose="02020603050405020304" pitchFamily="18" charset="0"/>
            </a:rPr>
            <a:t>). AP: advanced P-recovery manufacturing and use; CF: current-day feedstock management and use; dig: digestate; LIQ: liquid fraction; min: mineral;</a:t>
          </a:r>
          <a:r>
            <a:rPr lang="en-GB" sz="1100" b="0" baseline="0">
              <a:solidFill>
                <a:schemeClr val="dk1"/>
              </a:solidFill>
              <a:effectLst/>
              <a:latin typeface="Times New Roman" panose="02020603050405020304" pitchFamily="18" charset="0"/>
              <a:ea typeface="+mn-ea"/>
              <a:cs typeface="Times New Roman" panose="02020603050405020304" pitchFamily="18" charset="0"/>
            </a:rPr>
            <a:t> MSW: municipal solid waste; </a:t>
          </a:r>
          <a:r>
            <a:rPr lang="en-GB" sz="1100" b="0">
              <a:solidFill>
                <a:schemeClr val="dk1"/>
              </a:solidFill>
              <a:effectLst/>
              <a:latin typeface="Times New Roman" panose="02020603050405020304" pitchFamily="18" charset="0"/>
              <a:ea typeface="+mn-ea"/>
              <a:cs typeface="Times New Roman" panose="02020603050405020304" pitchFamily="18" charset="0"/>
            </a:rPr>
            <a:t>NB: net balance;</a:t>
          </a:r>
          <a:r>
            <a:rPr lang="en-GB" sz="1100" b="0" baseline="0">
              <a:solidFill>
                <a:schemeClr val="dk1"/>
              </a:solidFill>
              <a:effectLst/>
              <a:latin typeface="Times New Roman" panose="02020603050405020304" pitchFamily="18" charset="0"/>
              <a:ea typeface="+mn-ea"/>
              <a:cs typeface="Times New Roman" panose="02020603050405020304" pitchFamily="18" charset="0"/>
            </a:rPr>
            <a:t> </a:t>
          </a:r>
          <a:r>
            <a:rPr lang="en-GB" sz="1100" b="0">
              <a:solidFill>
                <a:schemeClr val="dk1"/>
              </a:solidFill>
              <a:effectLst/>
              <a:latin typeface="Times New Roman" panose="02020603050405020304" pitchFamily="18" charset="0"/>
              <a:ea typeface="+mn-ea"/>
              <a:cs typeface="Times New Roman" panose="02020603050405020304" pitchFamily="18" charset="0"/>
            </a:rPr>
            <a:t>ND: normal distribution; RAW: raw biomass;  TD: triangular distribution; TS: total solids; VS: volatile solids; UOL: use-on-land; ww: wet weight.</a:t>
          </a:r>
        </a:p>
        <a:p>
          <a:endParaRPr lang="en-GB" sz="1200" b="0">
            <a:latin typeface="Times New Roman" panose="02020603050405020304" pitchFamily="18"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95250</xdr:colOff>
      <xdr:row>0</xdr:row>
      <xdr:rowOff>95250</xdr:rowOff>
    </xdr:from>
    <xdr:to>
      <xdr:col>15</xdr:col>
      <xdr:colOff>257176</xdr:colOff>
      <xdr:row>3</xdr:row>
      <xdr:rowOff>161926</xdr:rowOff>
    </xdr:to>
    <xdr:sp macro="" textlink="">
      <xdr:nvSpPr>
        <xdr:cNvPr id="2" name="TextBox 1">
          <a:extLst>
            <a:ext uri="{FF2B5EF4-FFF2-40B4-BE49-F238E27FC236}">
              <a16:creationId xmlns="" xmlns:a16="http://schemas.microsoft.com/office/drawing/2014/main" id="{00000000-0008-0000-0200-000002000000}"/>
            </a:ext>
          </a:extLst>
        </xdr:cNvPr>
        <xdr:cNvSpPr txBox="1"/>
      </xdr:nvSpPr>
      <xdr:spPr>
        <a:xfrm>
          <a:off x="11620500" y="95250"/>
          <a:ext cx="5648326" cy="6381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GB" sz="1100" b="0">
              <a:solidFill>
                <a:schemeClr val="dk1"/>
              </a:solidFill>
              <a:effectLst/>
              <a:latin typeface="Times New Roman" panose="02020603050405020304" pitchFamily="18" charset="0"/>
              <a:ea typeface="+mn-ea"/>
              <a:cs typeface="Times New Roman" panose="02020603050405020304" pitchFamily="18" charset="0"/>
            </a:rPr>
            <a:t>Supplementary Table 3. List of the parameters that have a relative contribution larger than 10% to the overall uncertainty in at least one impact category. ND: normal distribution; TD: triangular distribution; TS: total solids; UOL: use-on-land;</a:t>
          </a:r>
          <a:r>
            <a:rPr lang="en-GB" sz="1100" b="0" baseline="0">
              <a:solidFill>
                <a:schemeClr val="dk1"/>
              </a:solidFill>
              <a:effectLst/>
              <a:latin typeface="Times New Roman" panose="02020603050405020304" pitchFamily="18" charset="0"/>
              <a:ea typeface="+mn-ea"/>
              <a:cs typeface="Times New Roman" panose="02020603050405020304" pitchFamily="18" charset="0"/>
            </a:rPr>
            <a:t> </a:t>
          </a:r>
          <a:r>
            <a:rPr lang="en-GB" sz="1100" b="0">
              <a:solidFill>
                <a:schemeClr val="dk1"/>
              </a:solidFill>
              <a:effectLst/>
              <a:latin typeface="Times New Roman" panose="02020603050405020304" pitchFamily="18" charset="0"/>
              <a:ea typeface="+mn-ea"/>
              <a:cs typeface="Times New Roman" panose="02020603050405020304" pitchFamily="18" charset="0"/>
            </a:rPr>
            <a:t>ww: wet weight. </a:t>
          </a:r>
          <a:endParaRPr lang="en-GB" sz="1100" b="0">
            <a:latin typeface="Times New Roman" panose="02020603050405020304" pitchFamily="18" charset="0"/>
            <a:cs typeface="Times New Roman" panose="02020603050405020304" pitchFamily="18"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15</xdr:col>
      <xdr:colOff>333374</xdr:colOff>
      <xdr:row>0</xdr:row>
      <xdr:rowOff>95248</xdr:rowOff>
    </xdr:from>
    <xdr:to>
      <xdr:col>29</xdr:col>
      <xdr:colOff>38100</xdr:colOff>
      <xdr:row>5</xdr:row>
      <xdr:rowOff>152399</xdr:rowOff>
    </xdr:to>
    <xdr:sp macro="" textlink="">
      <xdr:nvSpPr>
        <xdr:cNvPr id="2" name="TextBox 1">
          <a:extLst>
            <a:ext uri="{FF2B5EF4-FFF2-40B4-BE49-F238E27FC236}">
              <a16:creationId xmlns="" xmlns:a16="http://schemas.microsoft.com/office/drawing/2014/main" id="{00000000-0008-0000-0300-000002000000}"/>
            </a:ext>
          </a:extLst>
        </xdr:cNvPr>
        <xdr:cNvSpPr txBox="1"/>
      </xdr:nvSpPr>
      <xdr:spPr>
        <a:xfrm>
          <a:off x="9477374" y="95248"/>
          <a:ext cx="8239126" cy="10096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dk1"/>
              </a:solidFill>
              <a:effectLst/>
              <a:latin typeface="Times New Roman" panose="02020603050405020304" pitchFamily="18" charset="0"/>
              <a:ea typeface="+mn-ea"/>
              <a:cs typeface="Times New Roman" panose="02020603050405020304" pitchFamily="18" charset="0"/>
            </a:rPr>
            <a:t>Supplementary</a:t>
          </a:r>
          <a:r>
            <a:rPr lang="en-GB" sz="1100" baseline="0">
              <a:solidFill>
                <a:schemeClr val="dk1"/>
              </a:solidFill>
              <a:effectLst/>
              <a:latin typeface="Times New Roman" panose="02020603050405020304" pitchFamily="18" charset="0"/>
              <a:ea typeface="+mn-ea"/>
              <a:cs typeface="Times New Roman" panose="02020603050405020304" pitchFamily="18" charset="0"/>
            </a:rPr>
            <a:t> </a:t>
          </a:r>
          <a:r>
            <a:rPr lang="en-GB" sz="1100">
              <a:solidFill>
                <a:schemeClr val="dk1"/>
              </a:solidFill>
              <a:effectLst/>
              <a:latin typeface="Times New Roman" panose="02020603050405020304" pitchFamily="18" charset="0"/>
              <a:ea typeface="+mn-ea"/>
              <a:cs typeface="Times New Roman" panose="02020603050405020304" pitchFamily="18" charset="0"/>
            </a:rPr>
            <a:t>Table 4. Normalised impacts for the impact categories assessed in the study (10</a:t>
          </a:r>
          <a:r>
            <a:rPr lang="en-GB" sz="1100" baseline="30000">
              <a:solidFill>
                <a:schemeClr val="dk1"/>
              </a:solidFill>
              <a:effectLst/>
              <a:latin typeface="Times New Roman" panose="02020603050405020304" pitchFamily="18" charset="0"/>
              <a:ea typeface="+mn-ea"/>
              <a:cs typeface="Times New Roman" panose="02020603050405020304" pitchFamily="18" charset="0"/>
            </a:rPr>
            <a:t>-3</a:t>
          </a:r>
          <a:r>
            <a:rPr lang="en-GB" sz="1100">
              <a:solidFill>
                <a:schemeClr val="dk1"/>
              </a:solidFill>
              <a:effectLst/>
              <a:latin typeface="Times New Roman" panose="02020603050405020304" pitchFamily="18" charset="0"/>
              <a:ea typeface="+mn-ea"/>
              <a:cs typeface="Times New Roman" panose="02020603050405020304" pitchFamily="18" charset="0"/>
            </a:rPr>
            <a:t> person-equivalent; </a:t>
          </a:r>
          <a:r>
            <a:rPr lang="en-GB" sz="1100" b="0">
              <a:solidFill>
                <a:schemeClr val="dk1"/>
              </a:solidFill>
              <a:effectLst/>
              <a:latin typeface="Times New Roman" panose="02020603050405020304" pitchFamily="18" charset="0"/>
              <a:ea typeface="+mn-ea"/>
              <a:cs typeface="Times New Roman" panose="02020603050405020304" pitchFamily="18" charset="0"/>
            </a:rPr>
            <a:t>High population and livestock Density Areas </a:t>
          </a:r>
          <a:r>
            <a:rPr lang="en-GB" sz="1100">
              <a:solidFill>
                <a:schemeClr val="dk1"/>
              </a:solidFill>
              <a:effectLst/>
              <a:latin typeface="Times New Roman" panose="02020603050405020304" pitchFamily="18" charset="0"/>
              <a:ea typeface="+mn-ea"/>
              <a:cs typeface="Times New Roman" panose="02020603050405020304" pitchFamily="18" charset="0"/>
            </a:rPr>
            <a:t>) for scenarios NB1-NB6</a:t>
          </a:r>
          <a:r>
            <a:rPr lang="en-GB" sz="1100" baseline="0">
              <a:solidFill>
                <a:schemeClr val="dk1"/>
              </a:solidFill>
              <a:effectLst/>
              <a:latin typeface="Times New Roman" panose="02020603050405020304" pitchFamily="18" charset="0"/>
              <a:ea typeface="+mn-ea"/>
              <a:cs typeface="Times New Roman" panose="02020603050405020304" pitchFamily="18" charset="0"/>
            </a:rPr>
            <a:t> (Net Balance: AP-CF) and RP (Rock Phosphate)</a:t>
          </a:r>
          <a:r>
            <a:rPr lang="en-GB" sz="1100">
              <a:solidFill>
                <a:schemeClr val="dk1"/>
              </a:solidFill>
              <a:effectLst/>
              <a:latin typeface="Times New Roman" panose="02020603050405020304" pitchFamily="18" charset="0"/>
              <a:ea typeface="+mn-ea"/>
              <a:cs typeface="Times New Roman" panose="02020603050405020304" pitchFamily="18" charset="0"/>
            </a:rPr>
            <a:t>. CC: Climate Change; ET: Ecotoxicity; FE-P: Freshwater Eutrophication – aquatic; HTc: Human Toxicity - cancer; HTnc: Human Toxicity - non-cancer; IR: Infrared radiation; OD: Ozone Depletion; ME-N: Marine Eutrophication - aquatic; PM: Particulate Matter; POF: Photochemical Ozone Formation; RDf: Resource Depletion, fossil: TA: Terrestrial Acidification; TE: Terrestrial Eutrophication.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15</xdr:col>
      <xdr:colOff>209550</xdr:colOff>
      <xdr:row>0</xdr:row>
      <xdr:rowOff>123825</xdr:rowOff>
    </xdr:from>
    <xdr:to>
      <xdr:col>28</xdr:col>
      <xdr:colOff>457200</xdr:colOff>
      <xdr:row>5</xdr:row>
      <xdr:rowOff>76200</xdr:rowOff>
    </xdr:to>
    <xdr:sp macro="" textlink="">
      <xdr:nvSpPr>
        <xdr:cNvPr id="2" name="TextBox 1">
          <a:extLst>
            <a:ext uri="{FF2B5EF4-FFF2-40B4-BE49-F238E27FC236}">
              <a16:creationId xmlns="" xmlns:a16="http://schemas.microsoft.com/office/drawing/2014/main" id="{00000000-0008-0000-0400-000002000000}"/>
            </a:ext>
          </a:extLst>
        </xdr:cNvPr>
        <xdr:cNvSpPr txBox="1"/>
      </xdr:nvSpPr>
      <xdr:spPr>
        <a:xfrm>
          <a:off x="9353550" y="123825"/>
          <a:ext cx="8172450" cy="904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GB" sz="1100" b="0">
              <a:solidFill>
                <a:schemeClr val="dk1"/>
              </a:solidFill>
              <a:effectLst/>
              <a:latin typeface="Times New Roman" panose="02020603050405020304" pitchFamily="18" charset="0"/>
              <a:ea typeface="+mn-ea"/>
              <a:cs typeface="Times New Roman" panose="02020603050405020304" pitchFamily="18" charset="0"/>
            </a:rPr>
            <a:t>Supplementary Table 5. </a:t>
          </a:r>
          <a:r>
            <a:rPr lang="en-GB" sz="1100">
              <a:solidFill>
                <a:schemeClr val="dk1"/>
              </a:solidFill>
              <a:effectLst/>
              <a:latin typeface="Times New Roman" panose="02020603050405020304" pitchFamily="18" charset="0"/>
              <a:ea typeface="+mn-ea"/>
              <a:cs typeface="Times New Roman" panose="02020603050405020304" pitchFamily="18" charset="0"/>
            </a:rPr>
            <a:t>Relative contribution from each impact category assessed to the total normalised impact (</a:t>
          </a:r>
          <a:r>
            <a:rPr lang="en-GB" sz="1100" b="0">
              <a:solidFill>
                <a:schemeClr val="dk1"/>
              </a:solidFill>
              <a:effectLst/>
              <a:latin typeface="Times New Roman" panose="02020603050405020304" pitchFamily="18" charset="0"/>
              <a:ea typeface="+mn-ea"/>
              <a:cs typeface="Times New Roman" panose="02020603050405020304" pitchFamily="18" charset="0"/>
            </a:rPr>
            <a:t>High population and livestock Density Areas </a:t>
          </a:r>
          <a:r>
            <a:rPr lang="en-GB" sz="1100">
              <a:solidFill>
                <a:schemeClr val="dk1"/>
              </a:solidFill>
              <a:effectLst/>
              <a:latin typeface="Times New Roman" panose="02020603050405020304" pitchFamily="18" charset="0"/>
              <a:ea typeface="+mn-ea"/>
              <a:cs typeface="Times New Roman" panose="02020603050405020304" pitchFamily="18" charset="0"/>
            </a:rPr>
            <a:t>) for scenarios NB1-NB6</a:t>
          </a:r>
          <a:r>
            <a:rPr lang="en-GB" sz="1100" baseline="0">
              <a:solidFill>
                <a:schemeClr val="dk1"/>
              </a:solidFill>
              <a:effectLst/>
              <a:latin typeface="Times New Roman" panose="02020603050405020304" pitchFamily="18" charset="0"/>
              <a:ea typeface="+mn-ea"/>
              <a:cs typeface="Times New Roman" panose="02020603050405020304" pitchFamily="18" charset="0"/>
            </a:rPr>
            <a:t> (Net Balance: AP-CF) and RP (Rock Phosphate)</a:t>
          </a:r>
          <a:r>
            <a:rPr lang="en-GB" sz="1100">
              <a:solidFill>
                <a:schemeClr val="dk1"/>
              </a:solidFill>
              <a:effectLst/>
              <a:latin typeface="Times New Roman" panose="02020603050405020304" pitchFamily="18" charset="0"/>
              <a:ea typeface="+mn-ea"/>
              <a:cs typeface="Times New Roman" panose="02020603050405020304" pitchFamily="18" charset="0"/>
            </a:rPr>
            <a:t>.</a:t>
          </a:r>
          <a:r>
            <a:rPr lang="en-GB" sz="1100" baseline="0">
              <a:solidFill>
                <a:schemeClr val="dk1"/>
              </a:solidFill>
              <a:effectLst/>
              <a:latin typeface="Times New Roman" panose="02020603050405020304" pitchFamily="18" charset="0"/>
              <a:ea typeface="+mn-ea"/>
              <a:cs typeface="Times New Roman" panose="02020603050405020304" pitchFamily="18" charset="0"/>
            </a:rPr>
            <a:t> </a:t>
          </a:r>
          <a:r>
            <a:rPr lang="en-GB" sz="1100">
              <a:solidFill>
                <a:schemeClr val="dk1"/>
              </a:solidFill>
              <a:effectLst/>
              <a:latin typeface="Times New Roman" panose="02020603050405020304" pitchFamily="18" charset="0"/>
              <a:ea typeface="+mn-ea"/>
              <a:cs typeface="Times New Roman" panose="02020603050405020304" pitchFamily="18" charset="0"/>
            </a:rPr>
            <a:t>CC: Climate Change; ET: Ecotoxicity; FE-P: Freshwater Eutrophication – aquatic; HTc: Human Toxicity - cancer; HTnc: Human Toxicity - non-cancer; IR: Infrared radiation; OD: Ozone Depletion; ME-N: Marine Eutrophication - aquatic; PM: Particulate Matter; POF: Photochemical Ozone Formation; RDf: Resource Depletion, fossil: TA: Terrestrial Acidification; TE: Terrestrial Eutrophication.</a:t>
          </a:r>
          <a:endParaRPr lang="en-GB" sz="1100" b="0">
            <a:solidFill>
              <a:schemeClr val="dk1"/>
            </a:solidFill>
            <a:effectLst/>
            <a:latin typeface="Times New Roman" panose="02020603050405020304" pitchFamily="18" charset="0"/>
            <a:ea typeface="+mn-ea"/>
            <a:cs typeface="Times New Roman" panose="02020603050405020304" pitchFamily="18" charset="0"/>
          </a:endParaRPr>
        </a:p>
        <a:p>
          <a:endParaRPr lang="en-GB" sz="1100" b="0">
            <a:latin typeface="Times New Roman" panose="02020603050405020304" pitchFamily="18" charset="0"/>
            <a:cs typeface="Times New Roman" panose="02020603050405020304" pitchFamily="18"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15</xdr:col>
      <xdr:colOff>114300</xdr:colOff>
      <xdr:row>0</xdr:row>
      <xdr:rowOff>171450</xdr:rowOff>
    </xdr:from>
    <xdr:to>
      <xdr:col>28</xdr:col>
      <xdr:colOff>381000</xdr:colOff>
      <xdr:row>6</xdr:row>
      <xdr:rowOff>0</xdr:rowOff>
    </xdr:to>
    <xdr:sp macro="" textlink="">
      <xdr:nvSpPr>
        <xdr:cNvPr id="2" name="TextBox 1">
          <a:extLst>
            <a:ext uri="{FF2B5EF4-FFF2-40B4-BE49-F238E27FC236}">
              <a16:creationId xmlns="" xmlns:a16="http://schemas.microsoft.com/office/drawing/2014/main" id="{00000000-0008-0000-0500-000002000000}"/>
            </a:ext>
          </a:extLst>
        </xdr:cNvPr>
        <xdr:cNvSpPr txBox="1"/>
      </xdr:nvSpPr>
      <xdr:spPr>
        <a:xfrm>
          <a:off x="9258300" y="171450"/>
          <a:ext cx="8191500" cy="971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dk1"/>
              </a:solidFill>
              <a:effectLst/>
              <a:latin typeface="Times New Roman" panose="02020603050405020304" pitchFamily="18" charset="0"/>
              <a:ea typeface="+mn-ea"/>
              <a:cs typeface="Times New Roman" panose="02020603050405020304" pitchFamily="18" charset="0"/>
            </a:rPr>
            <a:t>Supplementary Table 6. Normalised impacts for the impact categories assessed in the study (10</a:t>
          </a:r>
          <a:r>
            <a:rPr lang="en-GB" sz="1100" baseline="30000">
              <a:solidFill>
                <a:schemeClr val="dk1"/>
              </a:solidFill>
              <a:effectLst/>
              <a:latin typeface="Times New Roman" panose="02020603050405020304" pitchFamily="18" charset="0"/>
              <a:ea typeface="+mn-ea"/>
              <a:cs typeface="Times New Roman" panose="02020603050405020304" pitchFamily="18" charset="0"/>
            </a:rPr>
            <a:t>-3</a:t>
          </a:r>
          <a:r>
            <a:rPr lang="en-GB" sz="1100">
              <a:solidFill>
                <a:schemeClr val="dk1"/>
              </a:solidFill>
              <a:effectLst/>
              <a:latin typeface="Times New Roman" panose="02020603050405020304" pitchFamily="18" charset="0"/>
              <a:ea typeface="+mn-ea"/>
              <a:cs typeface="Times New Roman" panose="02020603050405020304" pitchFamily="18" charset="0"/>
            </a:rPr>
            <a:t> person-equivalent; </a:t>
          </a:r>
          <a:r>
            <a:rPr lang="en-GB" sz="1100" b="0">
              <a:solidFill>
                <a:schemeClr val="dk1"/>
              </a:solidFill>
              <a:effectLst/>
              <a:latin typeface="Times New Roman" panose="02020603050405020304" pitchFamily="18" charset="0"/>
              <a:ea typeface="+mn-ea"/>
              <a:cs typeface="Times New Roman" panose="02020603050405020304" pitchFamily="18" charset="0"/>
            </a:rPr>
            <a:t>Low population and livestock Density Areas </a:t>
          </a:r>
          <a:r>
            <a:rPr lang="en-GB" sz="1100">
              <a:solidFill>
                <a:schemeClr val="dk1"/>
              </a:solidFill>
              <a:effectLst/>
              <a:latin typeface="Times New Roman" panose="02020603050405020304" pitchFamily="18" charset="0"/>
              <a:ea typeface="+mn-ea"/>
              <a:cs typeface="Times New Roman" panose="02020603050405020304" pitchFamily="18" charset="0"/>
            </a:rPr>
            <a:t>) for scenarios NB1-NB6</a:t>
          </a:r>
          <a:r>
            <a:rPr lang="en-GB" sz="1100" baseline="0">
              <a:solidFill>
                <a:schemeClr val="dk1"/>
              </a:solidFill>
              <a:effectLst/>
              <a:latin typeface="Times New Roman" panose="02020603050405020304" pitchFamily="18" charset="0"/>
              <a:ea typeface="+mn-ea"/>
              <a:cs typeface="Times New Roman" panose="02020603050405020304" pitchFamily="18" charset="0"/>
            </a:rPr>
            <a:t> (Net Balance: AP-CF) and RP (Rock Phosphate)</a:t>
          </a:r>
          <a:r>
            <a:rPr lang="en-GB" sz="1100">
              <a:solidFill>
                <a:schemeClr val="dk1"/>
              </a:solidFill>
              <a:effectLst/>
              <a:latin typeface="Times New Roman" panose="02020603050405020304" pitchFamily="18" charset="0"/>
              <a:ea typeface="+mn-ea"/>
              <a:cs typeface="Times New Roman" panose="02020603050405020304" pitchFamily="18" charset="0"/>
            </a:rPr>
            <a:t>.</a:t>
          </a:r>
          <a:r>
            <a:rPr lang="en-GB" sz="1100" baseline="0">
              <a:solidFill>
                <a:schemeClr val="dk1"/>
              </a:solidFill>
              <a:effectLst/>
              <a:latin typeface="Times New Roman" panose="02020603050405020304" pitchFamily="18" charset="0"/>
              <a:ea typeface="+mn-ea"/>
              <a:cs typeface="Times New Roman" panose="02020603050405020304" pitchFamily="18" charset="0"/>
            </a:rPr>
            <a:t> </a:t>
          </a:r>
          <a:r>
            <a:rPr lang="en-GB" sz="1100">
              <a:solidFill>
                <a:schemeClr val="dk1"/>
              </a:solidFill>
              <a:effectLst/>
              <a:latin typeface="Times New Roman" panose="02020603050405020304" pitchFamily="18" charset="0"/>
              <a:ea typeface="+mn-ea"/>
              <a:cs typeface="Times New Roman" panose="02020603050405020304" pitchFamily="18" charset="0"/>
            </a:rPr>
            <a:t>CC: Climate Change; ET: Ecotoxicity; FE-P: Freshwater Eutrophication – aquatic; HTc: Human Toxicity - cancer; HTnc: Human Toxicity - non-cancer; IR: Infrared radiation; OD: Ozone Depletion; ME-N: Marine Eutrophication - aquatic; PM: Particulate Matter; POF: Photochemical Ozone Formation; RDf: Resource Depletion, fossil: TA: Terrestrial Acidification; TE: Terrestrial Eutrophication.</a:t>
          </a:r>
          <a:endParaRPr lang="en-GB" sz="1100">
            <a:latin typeface="Times New Roman" panose="02020603050405020304" pitchFamily="18" charset="0"/>
            <a:cs typeface="Times New Roman" panose="02020603050405020304" pitchFamily="18"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15</xdr:col>
      <xdr:colOff>171449</xdr:colOff>
      <xdr:row>1</xdr:row>
      <xdr:rowOff>57150</xdr:rowOff>
    </xdr:from>
    <xdr:to>
      <xdr:col>28</xdr:col>
      <xdr:colOff>457200</xdr:colOff>
      <xdr:row>6</xdr:row>
      <xdr:rowOff>38099</xdr:rowOff>
    </xdr:to>
    <xdr:sp macro="" textlink="">
      <xdr:nvSpPr>
        <xdr:cNvPr id="2" name="TextBox 1">
          <a:extLst>
            <a:ext uri="{FF2B5EF4-FFF2-40B4-BE49-F238E27FC236}">
              <a16:creationId xmlns="" xmlns:a16="http://schemas.microsoft.com/office/drawing/2014/main" id="{00000000-0008-0000-0600-000002000000}"/>
            </a:ext>
          </a:extLst>
        </xdr:cNvPr>
        <xdr:cNvSpPr txBox="1"/>
      </xdr:nvSpPr>
      <xdr:spPr>
        <a:xfrm>
          <a:off x="9315449" y="247650"/>
          <a:ext cx="8210551" cy="9334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dk1"/>
              </a:solidFill>
              <a:effectLst/>
              <a:latin typeface="Times New Roman" panose="02020603050405020304" pitchFamily="18" charset="0"/>
              <a:ea typeface="+mn-ea"/>
              <a:cs typeface="Times New Roman" panose="02020603050405020304" pitchFamily="18" charset="0"/>
            </a:rPr>
            <a:t>Supplementary Table 7. Relative contribution from each impact category assessed to the total normalised impact (</a:t>
          </a:r>
          <a:r>
            <a:rPr lang="en-GB" sz="1100" b="0">
              <a:solidFill>
                <a:schemeClr val="dk1"/>
              </a:solidFill>
              <a:effectLst/>
              <a:latin typeface="Times New Roman" panose="02020603050405020304" pitchFamily="18" charset="0"/>
              <a:ea typeface="+mn-ea"/>
              <a:cs typeface="Times New Roman" panose="02020603050405020304" pitchFamily="18" charset="0"/>
            </a:rPr>
            <a:t>Low population and livestock Density Areas </a:t>
          </a:r>
          <a:r>
            <a:rPr lang="en-GB" sz="1100">
              <a:solidFill>
                <a:schemeClr val="dk1"/>
              </a:solidFill>
              <a:effectLst/>
              <a:latin typeface="Times New Roman" panose="02020603050405020304" pitchFamily="18" charset="0"/>
              <a:ea typeface="+mn-ea"/>
              <a:cs typeface="Times New Roman" panose="02020603050405020304" pitchFamily="18" charset="0"/>
            </a:rPr>
            <a:t>) for scenarios NB1-NB6</a:t>
          </a:r>
          <a:r>
            <a:rPr lang="en-GB" sz="1100" baseline="0">
              <a:solidFill>
                <a:schemeClr val="dk1"/>
              </a:solidFill>
              <a:effectLst/>
              <a:latin typeface="Times New Roman" panose="02020603050405020304" pitchFamily="18" charset="0"/>
              <a:ea typeface="+mn-ea"/>
              <a:cs typeface="Times New Roman" panose="02020603050405020304" pitchFamily="18" charset="0"/>
            </a:rPr>
            <a:t> (Net Balance: AP-CF) and RP (Rock Phosphate)</a:t>
          </a:r>
          <a:r>
            <a:rPr lang="en-GB" sz="1100">
              <a:solidFill>
                <a:schemeClr val="dk1"/>
              </a:solidFill>
              <a:effectLst/>
              <a:latin typeface="Times New Roman" panose="02020603050405020304" pitchFamily="18" charset="0"/>
              <a:ea typeface="+mn-ea"/>
              <a:cs typeface="Times New Roman" panose="02020603050405020304" pitchFamily="18" charset="0"/>
            </a:rPr>
            <a:t>. CC: Climate Change; ET: Ecotoxicity; FE-P: Freshwater Eutrophication – aquatic; HTc: Human Toxicity - cancer; HTnc: Human Toxicity - non-cancer; IR: Infrared radiation; OD: Ozone Depletion; ME-N: Marine Eutrophication - aquatic; PM: Particulate Matter; POF: Photochemical Ozone Formation; RDf: Resource Depletion, fossil: TA: Terrestrial Acidification; TE: Terrestrial Eutrophication.</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9</xdr:col>
      <xdr:colOff>285750</xdr:colOff>
      <xdr:row>0</xdr:row>
      <xdr:rowOff>47625</xdr:rowOff>
    </xdr:from>
    <xdr:to>
      <xdr:col>20</xdr:col>
      <xdr:colOff>95250</xdr:colOff>
      <xdr:row>0</xdr:row>
      <xdr:rowOff>676275</xdr:rowOff>
    </xdr:to>
    <xdr:sp macro="" textlink="">
      <xdr:nvSpPr>
        <xdr:cNvPr id="2" name="TextBox 1">
          <a:extLst>
            <a:ext uri="{FF2B5EF4-FFF2-40B4-BE49-F238E27FC236}">
              <a16:creationId xmlns="" xmlns:a16="http://schemas.microsoft.com/office/drawing/2014/main" id="{00000000-0008-0000-0700-000002000000}"/>
            </a:ext>
          </a:extLst>
        </xdr:cNvPr>
        <xdr:cNvSpPr txBox="1"/>
      </xdr:nvSpPr>
      <xdr:spPr>
        <a:xfrm>
          <a:off x="9439275" y="47625"/>
          <a:ext cx="6515100" cy="628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GB" sz="1100" b="0">
              <a:solidFill>
                <a:schemeClr val="dk1"/>
              </a:solidFill>
              <a:effectLst/>
              <a:latin typeface="Times New Roman" panose="02020603050405020304" pitchFamily="18" charset="0"/>
              <a:ea typeface="+mn-ea"/>
              <a:cs typeface="Times New Roman" panose="02020603050405020304" pitchFamily="18" charset="0"/>
            </a:rPr>
            <a:t>Supplementary Table 8. </a:t>
          </a:r>
          <a:r>
            <a:rPr lang="en-GB" sz="1100">
              <a:solidFill>
                <a:schemeClr val="dk1"/>
              </a:solidFill>
              <a:effectLst/>
              <a:latin typeface="Times New Roman" panose="02020603050405020304" pitchFamily="18" charset="0"/>
              <a:ea typeface="+mn-ea"/>
              <a:cs typeface="Times New Roman" panose="02020603050405020304" pitchFamily="18" charset="0"/>
            </a:rPr>
            <a:t>Basic properties of the input and output materials of manufacturing processes for advanced P-recovery (AP1-AP6) and rock phosphate based pathways (RP) to produce the functional unit of 1 kg bioavailable P in a concentrated P-fertiliser. TS: total solids.</a:t>
          </a:r>
          <a:endParaRPr lang="en-GB" sz="1100" b="0">
            <a:solidFill>
              <a:schemeClr val="dk1"/>
            </a:solidFill>
            <a:effectLst/>
            <a:latin typeface="Times New Roman" panose="02020603050405020304" pitchFamily="18" charset="0"/>
            <a:ea typeface="+mn-ea"/>
            <a:cs typeface="Times New Roman" panose="02020603050405020304" pitchFamily="18" charset="0"/>
          </a:endParaRPr>
        </a:p>
        <a:p>
          <a:pPr marL="0" indent="0"/>
          <a:endParaRPr lang="en-GB" sz="1100" b="0">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9</xdr:col>
      <xdr:colOff>495299</xdr:colOff>
      <xdr:row>0</xdr:row>
      <xdr:rowOff>76200</xdr:rowOff>
    </xdr:from>
    <xdr:to>
      <xdr:col>21</xdr:col>
      <xdr:colOff>495300</xdr:colOff>
      <xdr:row>4</xdr:row>
      <xdr:rowOff>66675</xdr:rowOff>
    </xdr:to>
    <xdr:sp macro="" textlink="">
      <xdr:nvSpPr>
        <xdr:cNvPr id="2" name="TextBox 1">
          <a:extLst>
            <a:ext uri="{FF2B5EF4-FFF2-40B4-BE49-F238E27FC236}">
              <a16:creationId xmlns="" xmlns:a16="http://schemas.microsoft.com/office/drawing/2014/main" id="{00000000-0008-0000-0800-000002000000}"/>
            </a:ext>
          </a:extLst>
        </xdr:cNvPr>
        <xdr:cNvSpPr txBox="1"/>
      </xdr:nvSpPr>
      <xdr:spPr>
        <a:xfrm>
          <a:off x="6629399" y="76200"/>
          <a:ext cx="7315201" cy="752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GB" sz="1100" b="0">
              <a:solidFill>
                <a:schemeClr val="dk1"/>
              </a:solidFill>
              <a:effectLst/>
              <a:latin typeface="Times New Roman" panose="02020603050405020304" pitchFamily="18" charset="0"/>
              <a:ea typeface="+mn-ea"/>
              <a:cs typeface="Times New Roman" panose="02020603050405020304" pitchFamily="18" charset="0"/>
            </a:rPr>
            <a:t>Supplementary</a:t>
          </a:r>
          <a:r>
            <a:rPr lang="en-GB" sz="1100" b="0" baseline="0">
              <a:solidFill>
                <a:schemeClr val="dk1"/>
              </a:solidFill>
              <a:effectLst/>
              <a:latin typeface="Times New Roman" panose="02020603050405020304" pitchFamily="18" charset="0"/>
              <a:ea typeface="+mn-ea"/>
              <a:cs typeface="Times New Roman" panose="02020603050405020304" pitchFamily="18" charset="0"/>
            </a:rPr>
            <a:t> </a:t>
          </a:r>
          <a:r>
            <a:rPr lang="en-GB" sz="1100" b="0">
              <a:solidFill>
                <a:schemeClr val="dk1"/>
              </a:solidFill>
              <a:effectLst/>
              <a:latin typeface="Times New Roman" panose="02020603050405020304" pitchFamily="18" charset="0"/>
              <a:ea typeface="+mn-ea"/>
              <a:cs typeface="Times New Roman" panose="02020603050405020304" pitchFamily="18" charset="0"/>
            </a:rPr>
            <a:t>Table 9. </a:t>
          </a:r>
          <a:r>
            <a:rPr lang="en-GB" sz="1100">
              <a:solidFill>
                <a:schemeClr val="dk1"/>
              </a:solidFill>
              <a:effectLst/>
              <a:latin typeface="Times New Roman" panose="02020603050405020304" pitchFamily="18" charset="0"/>
              <a:ea typeface="+mn-ea"/>
              <a:cs typeface="Times New Roman" panose="02020603050405020304" pitchFamily="18" charset="0"/>
            </a:rPr>
            <a:t>Chemical composition of feedstocks applied. CH4 pot: theoretical methane potential; cp: composted; dg: digested; dw: dewatered; LHVdb: lower heating value, dry basis; LHVwb: lower heating value, wet basis; MBM: meat and bone meal; nr: not relevant; PIM: pig manure; POM: poultry manure; SEW: sewage sludge; thick: thickened; TS: total solids; VS: volatile solids; ww: wet weight.</a:t>
          </a:r>
          <a:endParaRPr lang="en-GB" sz="1100" b="0">
            <a:solidFill>
              <a:schemeClr val="dk1"/>
            </a:solidFill>
            <a:effectLst/>
            <a:latin typeface="Times New Roman" panose="02020603050405020304" pitchFamily="18" charset="0"/>
            <a:ea typeface="+mn-ea"/>
            <a:cs typeface="Times New Roman" panose="02020603050405020304" pitchFamily="18" charset="0"/>
          </a:endParaRPr>
        </a:p>
        <a:p>
          <a:endParaRPr lang="en-GB" sz="1100" b="0">
            <a:latin typeface="Times New Roman" panose="02020603050405020304" pitchFamily="18" charset="0"/>
            <a:cs typeface="Times New Roman" panose="02020603050405020304" pitchFamily="18"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9</xdr:col>
      <xdr:colOff>142875</xdr:colOff>
      <xdr:row>1</xdr:row>
      <xdr:rowOff>19051</xdr:rowOff>
    </xdr:from>
    <xdr:to>
      <xdr:col>18</xdr:col>
      <xdr:colOff>171451</xdr:colOff>
      <xdr:row>3</xdr:row>
      <xdr:rowOff>152400</xdr:rowOff>
    </xdr:to>
    <xdr:sp macro="" textlink="">
      <xdr:nvSpPr>
        <xdr:cNvPr id="2" name="TextBox 1">
          <a:extLst>
            <a:ext uri="{FF2B5EF4-FFF2-40B4-BE49-F238E27FC236}">
              <a16:creationId xmlns="" xmlns:a16="http://schemas.microsoft.com/office/drawing/2014/main" id="{00000000-0008-0000-0900-000002000000}"/>
            </a:ext>
          </a:extLst>
        </xdr:cNvPr>
        <xdr:cNvSpPr txBox="1"/>
      </xdr:nvSpPr>
      <xdr:spPr>
        <a:xfrm>
          <a:off x="5495925" y="209551"/>
          <a:ext cx="5514976" cy="5143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GB" sz="1100" b="0">
              <a:solidFill>
                <a:schemeClr val="dk1"/>
              </a:solidFill>
              <a:effectLst/>
              <a:latin typeface="Times New Roman" panose="02020603050405020304" pitchFamily="18" charset="0"/>
              <a:ea typeface="+mn-ea"/>
              <a:cs typeface="Times New Roman" panose="02020603050405020304" pitchFamily="18" charset="0"/>
            </a:rPr>
            <a:t>Supplementary</a:t>
          </a:r>
          <a:r>
            <a:rPr lang="en-GB" sz="1100" b="0" baseline="0">
              <a:solidFill>
                <a:schemeClr val="dk1"/>
              </a:solidFill>
              <a:effectLst/>
              <a:latin typeface="Times New Roman" panose="02020603050405020304" pitchFamily="18" charset="0"/>
              <a:ea typeface="+mn-ea"/>
              <a:cs typeface="Times New Roman" panose="02020603050405020304" pitchFamily="18" charset="0"/>
            </a:rPr>
            <a:t> </a:t>
          </a:r>
          <a:r>
            <a:rPr lang="en-GB" sz="1100" b="0">
              <a:solidFill>
                <a:schemeClr val="dk1"/>
              </a:solidFill>
              <a:effectLst/>
              <a:latin typeface="Times New Roman" panose="02020603050405020304" pitchFamily="18" charset="0"/>
              <a:ea typeface="+mn-ea"/>
              <a:cs typeface="Times New Roman" panose="02020603050405020304" pitchFamily="18" charset="0"/>
            </a:rPr>
            <a:t>Table 10. </a:t>
          </a:r>
          <a:r>
            <a:rPr lang="en-GB" sz="1100">
              <a:solidFill>
                <a:schemeClr val="dk1"/>
              </a:solidFill>
              <a:effectLst/>
              <a:latin typeface="Times New Roman" panose="02020603050405020304" pitchFamily="18" charset="0"/>
              <a:ea typeface="+mn-ea"/>
              <a:cs typeface="Times New Roman" panose="02020603050405020304" pitchFamily="18" charset="0"/>
            </a:rPr>
            <a:t>Chemical composition of concentrated P-fertilisers manufactured through advanced P-recovery (AP1-AP6) and rock phosphate based pathways (RP).</a:t>
          </a:r>
          <a:endParaRPr lang="en-GB" sz="1100" b="0">
            <a:latin typeface="Times New Roman" panose="02020603050405020304" pitchFamily="18" charset="0"/>
            <a:cs typeface="Times New Roman" panose="02020603050405020304" pitchFamily="18"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15</xdr:col>
      <xdr:colOff>257175</xdr:colOff>
      <xdr:row>0</xdr:row>
      <xdr:rowOff>85725</xdr:rowOff>
    </xdr:from>
    <xdr:to>
      <xdr:col>28</xdr:col>
      <xdr:colOff>104775</xdr:colOff>
      <xdr:row>5</xdr:row>
      <xdr:rowOff>85725</xdr:rowOff>
    </xdr:to>
    <xdr:sp macro="" textlink="">
      <xdr:nvSpPr>
        <xdr:cNvPr id="3" name="TextBox 2">
          <a:extLst>
            <a:ext uri="{FF2B5EF4-FFF2-40B4-BE49-F238E27FC236}">
              <a16:creationId xmlns="" xmlns:a16="http://schemas.microsoft.com/office/drawing/2014/main" id="{00000000-0008-0000-0A00-000003000000}"/>
            </a:ext>
          </a:extLst>
        </xdr:cNvPr>
        <xdr:cNvSpPr txBox="1"/>
      </xdr:nvSpPr>
      <xdr:spPr>
        <a:xfrm>
          <a:off x="9467850" y="85725"/>
          <a:ext cx="7962900" cy="952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100" b="0">
              <a:solidFill>
                <a:schemeClr val="dk1"/>
              </a:solidFill>
              <a:effectLst/>
              <a:latin typeface="Times New Roman" panose="02020603050405020304" pitchFamily="18" charset="0"/>
              <a:ea typeface="+mn-ea"/>
              <a:cs typeface="Times New Roman" panose="02020603050405020304" pitchFamily="18" charset="0"/>
            </a:rPr>
            <a:t>Supplementary</a:t>
          </a:r>
          <a:r>
            <a:rPr lang="en-GB" sz="1100" b="0" baseline="0">
              <a:solidFill>
                <a:schemeClr val="dk1"/>
              </a:solidFill>
              <a:effectLst/>
              <a:latin typeface="Times New Roman" panose="02020603050405020304" pitchFamily="18" charset="0"/>
              <a:ea typeface="+mn-ea"/>
              <a:cs typeface="Times New Roman" panose="02020603050405020304" pitchFamily="18" charset="0"/>
            </a:rPr>
            <a:t> </a:t>
          </a:r>
          <a:r>
            <a:rPr lang="en-GB" sz="1100" b="0">
              <a:solidFill>
                <a:schemeClr val="dk1"/>
              </a:solidFill>
              <a:effectLst/>
              <a:latin typeface="Times New Roman" panose="02020603050405020304" pitchFamily="18" charset="0"/>
              <a:ea typeface="+mn-ea"/>
              <a:cs typeface="Times New Roman" panose="02020603050405020304" pitchFamily="18" charset="0"/>
            </a:rPr>
            <a:t>Table 11. Main mass and energy flows in the scenarios assessed, expressed per kg P bioavailable applied on land (High population and livestock Density Areas ). Note that the</a:t>
          </a:r>
          <a:r>
            <a:rPr lang="en-GB" sz="1100" b="0" baseline="0">
              <a:solidFill>
                <a:schemeClr val="dk1"/>
              </a:solidFill>
              <a:effectLst/>
              <a:latin typeface="Times New Roman" panose="02020603050405020304" pitchFamily="18" charset="0"/>
              <a:ea typeface="+mn-ea"/>
              <a:cs typeface="Times New Roman" panose="02020603050405020304" pitchFamily="18" charset="0"/>
            </a:rPr>
            <a:t> </a:t>
          </a:r>
          <a:r>
            <a:rPr lang="en-GB" sz="1100" b="0">
              <a:solidFill>
                <a:schemeClr val="dk1"/>
              </a:solidFill>
              <a:effectLst/>
              <a:latin typeface="Times New Roman" panose="02020603050405020304" pitchFamily="18" charset="0"/>
              <a:ea typeface="+mn-ea"/>
              <a:cs typeface="Times New Roman" panose="02020603050405020304" pitchFamily="18" charset="0"/>
            </a:rPr>
            <a:t>flow of C does not consider the subsequent mineralization</a:t>
          </a:r>
          <a:r>
            <a:rPr lang="en-GB" sz="1100" b="0" baseline="0">
              <a:solidFill>
                <a:schemeClr val="dk1"/>
              </a:solidFill>
              <a:effectLst/>
              <a:latin typeface="Times New Roman" panose="02020603050405020304" pitchFamily="18" charset="0"/>
              <a:ea typeface="+mn-ea"/>
              <a:cs typeface="Times New Roman" panose="02020603050405020304" pitchFamily="18" charset="0"/>
            </a:rPr>
            <a:t> </a:t>
          </a:r>
          <a:r>
            <a:rPr lang="en-GB" sz="1100" b="0">
              <a:solidFill>
                <a:schemeClr val="dk1"/>
              </a:solidFill>
              <a:effectLst/>
              <a:latin typeface="Times New Roman" panose="02020603050405020304" pitchFamily="18" charset="0"/>
              <a:ea typeface="+mn-ea"/>
              <a:cs typeface="Times New Roman" panose="02020603050405020304" pitchFamily="18" charset="0"/>
            </a:rPr>
            <a:t>following use-on-land. AP: advanced P-recovery manufacturing and use; CF: current-day feedstock management and use; NB: net balance (AP-CF); TS: total solids; Waste: residue after combustion and/or acidulation, sent to inert landfill (does not include mining waste); ww: wet weight. Electricity output (and associated credit) is reported as gross value. Values may be rounded.</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15</xdr:col>
      <xdr:colOff>114298</xdr:colOff>
      <xdr:row>0</xdr:row>
      <xdr:rowOff>85725</xdr:rowOff>
    </xdr:from>
    <xdr:to>
      <xdr:col>28</xdr:col>
      <xdr:colOff>76200</xdr:colOff>
      <xdr:row>5</xdr:row>
      <xdr:rowOff>161924</xdr:rowOff>
    </xdr:to>
    <xdr:sp macro="" textlink="">
      <xdr:nvSpPr>
        <xdr:cNvPr id="2" name="TextBox 1">
          <a:extLst>
            <a:ext uri="{FF2B5EF4-FFF2-40B4-BE49-F238E27FC236}">
              <a16:creationId xmlns="" xmlns:a16="http://schemas.microsoft.com/office/drawing/2014/main" id="{00000000-0008-0000-0B00-000002000000}"/>
            </a:ext>
          </a:extLst>
        </xdr:cNvPr>
        <xdr:cNvSpPr txBox="1"/>
      </xdr:nvSpPr>
      <xdr:spPr>
        <a:xfrm>
          <a:off x="9382123" y="85725"/>
          <a:ext cx="7886702" cy="10286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100" b="0">
              <a:solidFill>
                <a:schemeClr val="dk1"/>
              </a:solidFill>
              <a:effectLst/>
              <a:latin typeface="Times New Roman" panose="02020603050405020304" pitchFamily="18" charset="0"/>
              <a:ea typeface="+mn-ea"/>
              <a:cs typeface="Times New Roman" panose="02020603050405020304" pitchFamily="18" charset="0"/>
            </a:rPr>
            <a:t>Supplementary</a:t>
          </a:r>
          <a:r>
            <a:rPr lang="en-GB" sz="1100" b="0" baseline="0">
              <a:solidFill>
                <a:schemeClr val="dk1"/>
              </a:solidFill>
              <a:effectLst/>
              <a:latin typeface="Times New Roman" panose="02020603050405020304" pitchFamily="18" charset="0"/>
              <a:ea typeface="+mn-ea"/>
              <a:cs typeface="Times New Roman" panose="02020603050405020304" pitchFamily="18" charset="0"/>
            </a:rPr>
            <a:t> </a:t>
          </a:r>
          <a:r>
            <a:rPr lang="en-GB" sz="1100" b="0">
              <a:solidFill>
                <a:schemeClr val="dk1"/>
              </a:solidFill>
              <a:effectLst/>
              <a:latin typeface="Times New Roman" panose="02020603050405020304" pitchFamily="18" charset="0"/>
              <a:ea typeface="+mn-ea"/>
              <a:cs typeface="Times New Roman" panose="02020603050405020304" pitchFamily="18" charset="0"/>
            </a:rPr>
            <a:t>Table 12. Main mass and energy flows in the scenarios assessed, expressed per kg P bioavailable applied on land (Low population and livestock Density Areas ). Note that the</a:t>
          </a:r>
          <a:r>
            <a:rPr lang="en-GB" sz="1100" b="0" baseline="0">
              <a:solidFill>
                <a:schemeClr val="dk1"/>
              </a:solidFill>
              <a:effectLst/>
              <a:latin typeface="Times New Roman" panose="02020603050405020304" pitchFamily="18" charset="0"/>
              <a:ea typeface="+mn-ea"/>
              <a:cs typeface="Times New Roman" panose="02020603050405020304" pitchFamily="18" charset="0"/>
            </a:rPr>
            <a:t> </a:t>
          </a:r>
          <a:r>
            <a:rPr lang="en-GB" sz="1100" b="0">
              <a:solidFill>
                <a:schemeClr val="dk1"/>
              </a:solidFill>
              <a:effectLst/>
              <a:latin typeface="Times New Roman" panose="02020603050405020304" pitchFamily="18" charset="0"/>
              <a:ea typeface="+mn-ea"/>
              <a:cs typeface="Times New Roman" panose="02020603050405020304" pitchFamily="18" charset="0"/>
            </a:rPr>
            <a:t>flow of C does not consider the subsequent mineralization</a:t>
          </a:r>
          <a:r>
            <a:rPr lang="en-GB" sz="1100" b="0" baseline="0">
              <a:solidFill>
                <a:schemeClr val="dk1"/>
              </a:solidFill>
              <a:effectLst/>
              <a:latin typeface="Times New Roman" panose="02020603050405020304" pitchFamily="18" charset="0"/>
              <a:ea typeface="+mn-ea"/>
              <a:cs typeface="Times New Roman" panose="02020603050405020304" pitchFamily="18" charset="0"/>
            </a:rPr>
            <a:t> </a:t>
          </a:r>
          <a:r>
            <a:rPr lang="en-GB" sz="1100" b="0">
              <a:solidFill>
                <a:schemeClr val="dk1"/>
              </a:solidFill>
              <a:effectLst/>
              <a:latin typeface="Times New Roman" panose="02020603050405020304" pitchFamily="18" charset="0"/>
              <a:ea typeface="+mn-ea"/>
              <a:cs typeface="Times New Roman" panose="02020603050405020304" pitchFamily="18" charset="0"/>
            </a:rPr>
            <a:t>following use-on-land. AP: advanced P-recovery manufacturing and use; CF: current-day feedstock management and use; NB: net balance (AP-CF); TS: total solids; Waste: residue after combustion and/or acidulation, sent to inert landfill (does not include mining waste); ww: wet weight. Electricity output (and associated credit) is reported as gross value. Values may be rounded.</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10</xdr:col>
      <xdr:colOff>257176</xdr:colOff>
      <xdr:row>0</xdr:row>
      <xdr:rowOff>95251</xdr:rowOff>
    </xdr:from>
    <xdr:to>
      <xdr:col>24</xdr:col>
      <xdr:colOff>171450</xdr:colOff>
      <xdr:row>5</xdr:row>
      <xdr:rowOff>85725</xdr:rowOff>
    </xdr:to>
    <xdr:sp macro="" textlink="">
      <xdr:nvSpPr>
        <xdr:cNvPr id="2" name="TextBox 1">
          <a:extLst>
            <a:ext uri="{FF2B5EF4-FFF2-40B4-BE49-F238E27FC236}">
              <a16:creationId xmlns="" xmlns:a16="http://schemas.microsoft.com/office/drawing/2014/main" id="{00000000-0008-0000-0C00-000002000000}"/>
            </a:ext>
          </a:extLst>
        </xdr:cNvPr>
        <xdr:cNvSpPr txBox="1"/>
      </xdr:nvSpPr>
      <xdr:spPr>
        <a:xfrm>
          <a:off x="5105401" y="95251"/>
          <a:ext cx="8448674" cy="9429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GB" sz="1100" b="0">
              <a:solidFill>
                <a:schemeClr val="dk1"/>
              </a:solidFill>
              <a:effectLst/>
              <a:latin typeface="Times New Roman" panose="02020603050405020304" pitchFamily="18" charset="0"/>
              <a:ea typeface="+mn-ea"/>
              <a:cs typeface="Times New Roman" panose="02020603050405020304" pitchFamily="18" charset="0"/>
            </a:rPr>
            <a:t>Supplementary</a:t>
          </a:r>
          <a:r>
            <a:rPr lang="en-GB" sz="1100" b="0" baseline="0">
              <a:solidFill>
                <a:schemeClr val="dk1"/>
              </a:solidFill>
              <a:effectLst/>
              <a:latin typeface="Times New Roman" panose="02020603050405020304" pitchFamily="18" charset="0"/>
              <a:ea typeface="+mn-ea"/>
              <a:cs typeface="Times New Roman" panose="02020603050405020304" pitchFamily="18" charset="0"/>
            </a:rPr>
            <a:t> </a:t>
          </a:r>
          <a:r>
            <a:rPr lang="en-GB" sz="1100" b="0">
              <a:solidFill>
                <a:schemeClr val="dk1"/>
              </a:solidFill>
              <a:effectLst/>
              <a:latin typeface="Times New Roman" panose="02020603050405020304" pitchFamily="18" charset="0"/>
              <a:ea typeface="+mn-ea"/>
              <a:cs typeface="Times New Roman" panose="02020603050405020304" pitchFamily="18" charset="0"/>
            </a:rPr>
            <a:t>Table 13. Substance balance for High population and livestock Density Areas . The percentages show the partitioning of the input among the different routes. Air: losses to air during storage/combustion. OFM: sum of all the flows of organic fertilising materials of &lt;10% P</a:t>
          </a:r>
          <a:r>
            <a:rPr lang="en-GB" sz="1100" b="0" baseline="-25000">
              <a:solidFill>
                <a:schemeClr val="dk1"/>
              </a:solidFill>
              <a:effectLst/>
              <a:latin typeface="Times New Roman" panose="02020603050405020304" pitchFamily="18" charset="0"/>
              <a:ea typeface="+mn-ea"/>
              <a:cs typeface="Times New Roman" panose="02020603050405020304" pitchFamily="18" charset="0"/>
            </a:rPr>
            <a:t>2</a:t>
          </a:r>
          <a:r>
            <a:rPr lang="en-GB" sz="1100" b="0">
              <a:solidFill>
                <a:schemeClr val="dk1"/>
              </a:solidFill>
              <a:effectLst/>
              <a:latin typeface="Times New Roman" panose="02020603050405020304" pitchFamily="18" charset="0"/>
              <a:ea typeface="+mn-ea"/>
              <a:cs typeface="Times New Roman" panose="02020603050405020304" pitchFamily="18" charset="0"/>
            </a:rPr>
            <a:t>O</a:t>
          </a:r>
          <a:r>
            <a:rPr lang="en-GB" sz="1100" b="0" baseline="-25000">
              <a:solidFill>
                <a:schemeClr val="dk1"/>
              </a:solidFill>
              <a:effectLst/>
              <a:latin typeface="Times New Roman" panose="02020603050405020304" pitchFamily="18" charset="0"/>
              <a:ea typeface="+mn-ea"/>
              <a:cs typeface="Times New Roman" panose="02020603050405020304" pitchFamily="18" charset="0"/>
            </a:rPr>
            <a:t>5</a:t>
          </a:r>
          <a:r>
            <a:rPr lang="en-GB" sz="1100" b="0">
              <a:solidFill>
                <a:schemeClr val="dk1"/>
              </a:solidFill>
              <a:effectLst/>
              <a:latin typeface="Times New Roman" panose="02020603050405020304" pitchFamily="18" charset="0"/>
              <a:ea typeface="+mn-ea"/>
              <a:cs typeface="Times New Roman" panose="02020603050405020304" pitchFamily="18" charset="0"/>
            </a:rPr>
            <a:t> used on land (e.g. raw feedstock biomass, whole digestate, liquid and solid fraction). Waste: residue after combustion and/or acidulation, sent to inert landfill. Note that the share of C attributed to OFM or P-fertiliser does not consider the subsequent mineralization following use-on-land. AP: advanced P-recovery manufacturing and use; CF: current-day feedstock management and use; NB: net balance (AP-CF).</a:t>
          </a:r>
          <a:endParaRPr lang="en-GB" sz="1100" b="0">
            <a:latin typeface="Times New Roman" panose="02020603050405020304" pitchFamily="18" charset="0"/>
            <a:cs typeface="Times New Roman" panose="02020603050405020304" pitchFamily="18"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7</xdr:col>
      <xdr:colOff>180974</xdr:colOff>
      <xdr:row>0</xdr:row>
      <xdr:rowOff>47624</xdr:rowOff>
    </xdr:from>
    <xdr:to>
      <xdr:col>22</xdr:col>
      <xdr:colOff>0</xdr:colOff>
      <xdr:row>4</xdr:row>
      <xdr:rowOff>85725</xdr:rowOff>
    </xdr:to>
    <xdr:sp macro="" textlink="">
      <xdr:nvSpPr>
        <xdr:cNvPr id="2" name="TextBox 1">
          <a:extLst>
            <a:ext uri="{FF2B5EF4-FFF2-40B4-BE49-F238E27FC236}">
              <a16:creationId xmlns="" xmlns:a16="http://schemas.microsoft.com/office/drawing/2014/main" id="{00000000-0008-0000-0D00-000002000000}"/>
            </a:ext>
          </a:extLst>
        </xdr:cNvPr>
        <xdr:cNvSpPr txBox="1"/>
      </xdr:nvSpPr>
      <xdr:spPr>
        <a:xfrm>
          <a:off x="4886324" y="47624"/>
          <a:ext cx="8963026" cy="8096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GB" sz="1100" b="0">
              <a:solidFill>
                <a:schemeClr val="dk1"/>
              </a:solidFill>
              <a:effectLst/>
              <a:latin typeface="Times New Roman" panose="02020603050405020304" pitchFamily="18" charset="0"/>
              <a:ea typeface="+mn-ea"/>
              <a:cs typeface="Times New Roman" panose="02020603050405020304" pitchFamily="18" charset="0"/>
            </a:rPr>
            <a:t>Supplementary</a:t>
          </a:r>
          <a:r>
            <a:rPr lang="en-GB" sz="1100" b="0" baseline="0">
              <a:solidFill>
                <a:schemeClr val="dk1"/>
              </a:solidFill>
              <a:effectLst/>
              <a:latin typeface="Times New Roman" panose="02020603050405020304" pitchFamily="18" charset="0"/>
              <a:ea typeface="+mn-ea"/>
              <a:cs typeface="Times New Roman" panose="02020603050405020304" pitchFamily="18" charset="0"/>
            </a:rPr>
            <a:t> </a:t>
          </a:r>
          <a:r>
            <a:rPr lang="en-GB" sz="1100" b="0">
              <a:solidFill>
                <a:schemeClr val="dk1"/>
              </a:solidFill>
              <a:effectLst/>
              <a:latin typeface="Times New Roman" panose="02020603050405020304" pitchFamily="18" charset="0"/>
              <a:ea typeface="+mn-ea"/>
              <a:cs typeface="Times New Roman" panose="02020603050405020304" pitchFamily="18" charset="0"/>
            </a:rPr>
            <a:t>Table 14. Input-output disaggregated inventory for thermal treatment (mono- and co-incineration with municipal solid waste). CAPEX: capital expenditures; CO-INC: co-incineration with MSW; cp: composted; dg: digested; dw: dewatered; INC: incineration; LHV</a:t>
          </a:r>
          <a:r>
            <a:rPr lang="en-GB" sz="1100" b="0" baseline="-25000">
              <a:solidFill>
                <a:schemeClr val="dk1"/>
              </a:solidFill>
              <a:effectLst/>
              <a:latin typeface="Times New Roman" panose="02020603050405020304" pitchFamily="18" charset="0"/>
              <a:ea typeface="+mn-ea"/>
              <a:cs typeface="Times New Roman" panose="02020603050405020304" pitchFamily="18" charset="0"/>
            </a:rPr>
            <a:t>db</a:t>
          </a:r>
          <a:r>
            <a:rPr lang="en-GB" sz="1100" b="0">
              <a:solidFill>
                <a:schemeClr val="dk1"/>
              </a:solidFill>
              <a:effectLst/>
              <a:latin typeface="Times New Roman" panose="02020603050405020304" pitchFamily="18" charset="0"/>
              <a:ea typeface="+mn-ea"/>
              <a:cs typeface="Times New Roman" panose="02020603050405020304" pitchFamily="18" charset="0"/>
            </a:rPr>
            <a:t>: lower heating value, dry basis; MBM: meat and bone meal; MO-INC: mono-incineration; MO-PYR: mono-pyrolysis; PIM: pig manure; POM: poultry manure; SEW: sewage sludge; thick: thickened; TS: total solids; VS: volatile solids; ww: wet weight. Values are expressed on a wet weight basis, unless otherwise stated.</a:t>
          </a:r>
        </a:p>
        <a:p>
          <a:endParaRPr lang="en-GB" sz="1100" b="0">
            <a:latin typeface="Times New Roman" panose="02020603050405020304" pitchFamily="18" charset="0"/>
            <a:cs typeface="Times New Roman" panose="02020603050405020304" pitchFamily="18"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4</xdr:col>
      <xdr:colOff>171449</xdr:colOff>
      <xdr:row>0</xdr:row>
      <xdr:rowOff>104775</xdr:rowOff>
    </xdr:from>
    <xdr:to>
      <xdr:col>17</xdr:col>
      <xdr:colOff>495300</xdr:colOff>
      <xdr:row>4</xdr:row>
      <xdr:rowOff>123825</xdr:rowOff>
    </xdr:to>
    <xdr:sp macro="" textlink="">
      <xdr:nvSpPr>
        <xdr:cNvPr id="2" name="TextBox 1">
          <a:extLst>
            <a:ext uri="{FF2B5EF4-FFF2-40B4-BE49-F238E27FC236}">
              <a16:creationId xmlns="" xmlns:a16="http://schemas.microsoft.com/office/drawing/2014/main" id="{00000000-0008-0000-0E00-000002000000}"/>
            </a:ext>
          </a:extLst>
        </xdr:cNvPr>
        <xdr:cNvSpPr txBox="1"/>
      </xdr:nvSpPr>
      <xdr:spPr>
        <a:xfrm>
          <a:off x="3667124" y="104775"/>
          <a:ext cx="8248651" cy="790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100" b="0">
              <a:solidFill>
                <a:schemeClr val="dk1"/>
              </a:solidFill>
              <a:effectLst/>
              <a:latin typeface="Times New Roman" panose="02020603050405020304" pitchFamily="18" charset="0"/>
              <a:ea typeface="+mn-ea"/>
              <a:cs typeface="Times New Roman" panose="02020603050405020304" pitchFamily="18" charset="0"/>
            </a:rPr>
            <a:t>Supplementary Table 15. Input-output disaggregated inventory for anaerobic digestion, including utilisation of the biogas in the gas engine. AD: anaerobic digestion; CAPEX: capital expenditures; CH4 pot: theoretical methane potential; cp: composted; dg: digested; dw: dewatered; LHVdb: lower heating value, dry basis; MBM: meat and bone meal; PIM: pig manure; POM: poultry manure; SEW: sewage sludge; thick: thickened; TS: total solids; VS: volatile solids; ww: wet weight. Values are expressed on a wet weight basis, unless otherwise stated.</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3</xdr:col>
      <xdr:colOff>190500</xdr:colOff>
      <xdr:row>0</xdr:row>
      <xdr:rowOff>114300</xdr:rowOff>
    </xdr:from>
    <xdr:to>
      <xdr:col>15</xdr:col>
      <xdr:colOff>95250</xdr:colOff>
      <xdr:row>3</xdr:row>
      <xdr:rowOff>180975</xdr:rowOff>
    </xdr:to>
    <xdr:sp macro="" textlink="">
      <xdr:nvSpPr>
        <xdr:cNvPr id="2" name="TextBox 1">
          <a:extLst>
            <a:ext uri="{FF2B5EF4-FFF2-40B4-BE49-F238E27FC236}">
              <a16:creationId xmlns="" xmlns:a16="http://schemas.microsoft.com/office/drawing/2014/main" id="{00000000-0008-0000-0F00-000002000000}"/>
            </a:ext>
          </a:extLst>
        </xdr:cNvPr>
        <xdr:cNvSpPr txBox="1"/>
      </xdr:nvSpPr>
      <xdr:spPr>
        <a:xfrm>
          <a:off x="3276600" y="114300"/>
          <a:ext cx="7219950" cy="676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dk1"/>
              </a:solidFill>
              <a:effectLst/>
              <a:latin typeface="Times New Roman" panose="02020603050405020304" pitchFamily="18" charset="0"/>
              <a:ea typeface="+mn-ea"/>
              <a:cs typeface="Times New Roman" panose="02020603050405020304" pitchFamily="18" charset="0"/>
            </a:rPr>
            <a:t>Supplementary</a:t>
          </a:r>
          <a:r>
            <a:rPr lang="en-GB" sz="1100" baseline="0">
              <a:solidFill>
                <a:schemeClr val="dk1"/>
              </a:solidFill>
              <a:effectLst/>
              <a:latin typeface="Times New Roman" panose="02020603050405020304" pitchFamily="18" charset="0"/>
              <a:ea typeface="+mn-ea"/>
              <a:cs typeface="Times New Roman" panose="02020603050405020304" pitchFamily="18" charset="0"/>
            </a:rPr>
            <a:t> </a:t>
          </a:r>
          <a:r>
            <a:rPr lang="en-GB" sz="1100">
              <a:solidFill>
                <a:schemeClr val="dk1"/>
              </a:solidFill>
              <a:effectLst/>
              <a:latin typeface="Times New Roman" panose="02020603050405020304" pitchFamily="18" charset="0"/>
              <a:ea typeface="+mn-ea"/>
              <a:cs typeface="Times New Roman" panose="02020603050405020304" pitchFamily="18" charset="0"/>
            </a:rPr>
            <a:t>Table 16. Input-output disaggregated inventory for precipitation processes. CAPEX: capital expenditures; dg: digested; dw: dewatered; SEW: sewage sludge; TS: total solids; VS: volatile solids; ww: wet weight. Values are expressed on a wet weight basis, unless otherwise stated.</a:t>
          </a:r>
          <a:endParaRPr lang="en-GB" sz="1100">
            <a:latin typeface="Times New Roman" panose="02020603050405020304" pitchFamily="18" charset="0"/>
            <a:cs typeface="Times New Roman" panose="02020603050405020304" pitchFamily="18"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6</xdr:col>
      <xdr:colOff>180975</xdr:colOff>
      <xdr:row>0</xdr:row>
      <xdr:rowOff>85725</xdr:rowOff>
    </xdr:from>
    <xdr:to>
      <xdr:col>15</xdr:col>
      <xdr:colOff>495300</xdr:colOff>
      <xdr:row>3</xdr:row>
      <xdr:rowOff>114300</xdr:rowOff>
    </xdr:to>
    <xdr:sp macro="" textlink="">
      <xdr:nvSpPr>
        <xdr:cNvPr id="2" name="TextBox 1">
          <a:extLst>
            <a:ext uri="{FF2B5EF4-FFF2-40B4-BE49-F238E27FC236}">
              <a16:creationId xmlns="" xmlns:a16="http://schemas.microsoft.com/office/drawing/2014/main" id="{00000000-0008-0000-1000-000002000000}"/>
            </a:ext>
          </a:extLst>
        </xdr:cNvPr>
        <xdr:cNvSpPr txBox="1"/>
      </xdr:nvSpPr>
      <xdr:spPr>
        <a:xfrm>
          <a:off x="4791075" y="85725"/>
          <a:ext cx="5800725"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dk1"/>
              </a:solidFill>
              <a:effectLst/>
              <a:latin typeface="Times New Roman" panose="02020603050405020304" pitchFamily="18" charset="0"/>
              <a:ea typeface="+mn-ea"/>
              <a:cs typeface="Times New Roman" panose="02020603050405020304" pitchFamily="18" charset="0"/>
            </a:rPr>
            <a:t>Supplementary</a:t>
          </a:r>
          <a:r>
            <a:rPr lang="en-GB" sz="1100" baseline="0">
              <a:solidFill>
                <a:schemeClr val="dk1"/>
              </a:solidFill>
              <a:effectLst/>
              <a:latin typeface="Times New Roman" panose="02020603050405020304" pitchFamily="18" charset="0"/>
              <a:ea typeface="+mn-ea"/>
              <a:cs typeface="Times New Roman" panose="02020603050405020304" pitchFamily="18" charset="0"/>
            </a:rPr>
            <a:t> </a:t>
          </a:r>
          <a:r>
            <a:rPr lang="en-GB" sz="1100">
              <a:solidFill>
                <a:schemeClr val="dk1"/>
              </a:solidFill>
              <a:effectLst/>
              <a:latin typeface="Times New Roman" panose="02020603050405020304" pitchFamily="18" charset="0"/>
              <a:ea typeface="+mn-ea"/>
              <a:cs typeface="Times New Roman" panose="02020603050405020304" pitchFamily="18" charset="0"/>
            </a:rPr>
            <a:t>Table 17. Input-output disaggregated inventory for acidulation and other post-processing of the ash. CAPEX: capital expenditures; TS: total solids; VS: volatile solids; ww: wet weight. Values are expressed on a dry weight basis (i.e. per t TS), unless otherwise stated.</a:t>
          </a:r>
          <a:endParaRPr lang="en-GB" sz="1100">
            <a:latin typeface="Times New Roman" panose="02020603050405020304" pitchFamily="18" charset="0"/>
            <a:cs typeface="Times New Roman" panose="02020603050405020304" pitchFamily="18"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3</xdr:col>
      <xdr:colOff>276223</xdr:colOff>
      <xdr:row>0</xdr:row>
      <xdr:rowOff>85725</xdr:rowOff>
    </xdr:from>
    <xdr:to>
      <xdr:col>15</xdr:col>
      <xdr:colOff>523875</xdr:colOff>
      <xdr:row>3</xdr:row>
      <xdr:rowOff>0</xdr:rowOff>
    </xdr:to>
    <xdr:sp macro="" textlink="">
      <xdr:nvSpPr>
        <xdr:cNvPr id="2" name="TextBox 1">
          <a:extLst>
            <a:ext uri="{FF2B5EF4-FFF2-40B4-BE49-F238E27FC236}">
              <a16:creationId xmlns="" xmlns:a16="http://schemas.microsoft.com/office/drawing/2014/main" id="{00000000-0008-0000-1100-000002000000}"/>
            </a:ext>
          </a:extLst>
        </xdr:cNvPr>
        <xdr:cNvSpPr txBox="1"/>
      </xdr:nvSpPr>
      <xdr:spPr>
        <a:xfrm>
          <a:off x="2981323" y="85725"/>
          <a:ext cx="7562852" cy="495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100" b="0">
              <a:solidFill>
                <a:schemeClr val="dk1"/>
              </a:solidFill>
              <a:effectLst/>
              <a:latin typeface="Times New Roman" panose="02020603050405020304" pitchFamily="18" charset="0"/>
              <a:ea typeface="+mn-ea"/>
              <a:cs typeface="Times New Roman" panose="02020603050405020304" pitchFamily="18" charset="0"/>
            </a:rPr>
            <a:t>Supplementary</a:t>
          </a:r>
          <a:r>
            <a:rPr lang="en-GB" sz="1100" b="0" baseline="0">
              <a:solidFill>
                <a:schemeClr val="dk1"/>
              </a:solidFill>
              <a:effectLst/>
              <a:latin typeface="Times New Roman" panose="02020603050405020304" pitchFamily="18" charset="0"/>
              <a:ea typeface="+mn-ea"/>
              <a:cs typeface="Times New Roman" panose="02020603050405020304" pitchFamily="18" charset="0"/>
            </a:rPr>
            <a:t> </a:t>
          </a:r>
          <a:r>
            <a:rPr lang="en-GB" sz="1100" b="0">
              <a:solidFill>
                <a:schemeClr val="dk1"/>
              </a:solidFill>
              <a:effectLst/>
              <a:latin typeface="Times New Roman" panose="02020603050405020304" pitchFamily="18" charset="0"/>
              <a:ea typeface="+mn-ea"/>
              <a:cs typeface="Times New Roman" panose="02020603050405020304" pitchFamily="18" charset="0"/>
            </a:rPr>
            <a:t>Table 18. Input-output disaggregated inventory for composting. CAPEX: capital expenditures; TS: total solids; VS: volatile solids; ww: wet weight. Values are expressed on a dry weight basis (i.e. per t TS), unless otherwise stated.</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8</xdr:col>
      <xdr:colOff>542924</xdr:colOff>
      <xdr:row>0</xdr:row>
      <xdr:rowOff>0</xdr:rowOff>
    </xdr:from>
    <xdr:to>
      <xdr:col>20</xdr:col>
      <xdr:colOff>200025</xdr:colOff>
      <xdr:row>3</xdr:row>
      <xdr:rowOff>28575</xdr:rowOff>
    </xdr:to>
    <xdr:sp macro="" textlink="">
      <xdr:nvSpPr>
        <xdr:cNvPr id="2" name="TextBox 1">
          <a:extLst>
            <a:ext uri="{FF2B5EF4-FFF2-40B4-BE49-F238E27FC236}">
              <a16:creationId xmlns="" xmlns:a16="http://schemas.microsoft.com/office/drawing/2014/main" id="{00000000-0008-0000-1200-000002000000}"/>
            </a:ext>
          </a:extLst>
        </xdr:cNvPr>
        <xdr:cNvSpPr txBox="1"/>
      </xdr:nvSpPr>
      <xdr:spPr>
        <a:xfrm>
          <a:off x="10267949" y="0"/>
          <a:ext cx="6972301" cy="600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GB" sz="1100" b="0">
              <a:solidFill>
                <a:schemeClr val="dk1"/>
              </a:solidFill>
              <a:effectLst/>
              <a:latin typeface="Times New Roman" panose="02020603050405020304" pitchFamily="18" charset="0"/>
              <a:ea typeface="+mn-ea"/>
              <a:cs typeface="Times New Roman" panose="02020603050405020304" pitchFamily="18" charset="0"/>
            </a:rPr>
            <a:t>Supplementary</a:t>
          </a:r>
          <a:r>
            <a:rPr lang="en-GB" sz="1100" b="0" baseline="0">
              <a:solidFill>
                <a:schemeClr val="dk1"/>
              </a:solidFill>
              <a:effectLst/>
              <a:latin typeface="Times New Roman" panose="02020603050405020304" pitchFamily="18" charset="0"/>
              <a:ea typeface="+mn-ea"/>
              <a:cs typeface="Times New Roman" panose="02020603050405020304" pitchFamily="18" charset="0"/>
            </a:rPr>
            <a:t> </a:t>
          </a:r>
          <a:r>
            <a:rPr lang="en-GB" sz="1100" b="0">
              <a:solidFill>
                <a:schemeClr val="dk1"/>
              </a:solidFill>
              <a:effectLst/>
              <a:latin typeface="Times New Roman" panose="02020603050405020304" pitchFamily="18" charset="0"/>
              <a:ea typeface="+mn-ea"/>
              <a:cs typeface="Times New Roman" panose="02020603050405020304" pitchFamily="18" charset="0"/>
            </a:rPr>
            <a:t>Table 19. Default values and uncertainty ranges for emissions resulting from storage of concentrated P-fertilisers and organic fertilising materials prior to land application.</a:t>
          </a:r>
          <a:r>
            <a:rPr lang="en-GB" sz="1100" b="0" baseline="0">
              <a:solidFill>
                <a:schemeClr val="dk1"/>
              </a:solidFill>
              <a:effectLst/>
              <a:latin typeface="Times New Roman" panose="02020603050405020304" pitchFamily="18" charset="0"/>
              <a:ea typeface="+mn-ea"/>
              <a:cs typeface="Times New Roman" panose="02020603050405020304" pitchFamily="18" charset="0"/>
            </a:rPr>
            <a:t> </a:t>
          </a:r>
          <a:r>
            <a:rPr lang="en-GB" sz="1100" b="0">
              <a:solidFill>
                <a:schemeClr val="dk1"/>
              </a:solidFill>
              <a:effectLst/>
              <a:latin typeface="Times New Roman" panose="02020603050405020304" pitchFamily="18" charset="0"/>
              <a:ea typeface="+mn-ea"/>
              <a:cs typeface="Times New Roman" panose="02020603050405020304" pitchFamily="18" charset="0"/>
            </a:rPr>
            <a:t>AP: advanced P-recovery manufacturing and use; CF: current-day feedstock management and use; </a:t>
          </a:r>
          <a:r>
            <a:rPr lang="en-GB" sz="1100" b="0" baseline="0">
              <a:solidFill>
                <a:schemeClr val="dk1"/>
              </a:solidFill>
              <a:effectLst/>
              <a:latin typeface="Times New Roman" panose="02020603050405020304" pitchFamily="18" charset="0"/>
              <a:ea typeface="+mn-ea"/>
              <a:cs typeface="Times New Roman" panose="02020603050405020304" pitchFamily="18" charset="0"/>
            </a:rPr>
            <a:t>na: not applicable. </a:t>
          </a:r>
          <a:endParaRPr lang="en-GB" sz="1100" b="0">
            <a:solidFill>
              <a:schemeClr val="dk1"/>
            </a:solidFill>
            <a:effectLst/>
            <a:latin typeface="Times New Roman" panose="02020603050405020304" pitchFamily="18" charset="0"/>
            <a:ea typeface="+mn-ea"/>
            <a:cs typeface="Times New Roman" panose="02020603050405020304" pitchFamily="18" charset="0"/>
          </a:endParaRPr>
        </a:p>
        <a:p>
          <a:endParaRPr lang="en-GB" sz="1100" b="0">
            <a:latin typeface="Times New Roman" panose="02020603050405020304" pitchFamily="18" charset="0"/>
            <a:cs typeface="Times New Roman" panose="02020603050405020304" pitchFamily="18"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5</xdr:col>
      <xdr:colOff>152399</xdr:colOff>
      <xdr:row>0</xdr:row>
      <xdr:rowOff>171450</xdr:rowOff>
    </xdr:from>
    <xdr:to>
      <xdr:col>15</xdr:col>
      <xdr:colOff>390525</xdr:colOff>
      <xdr:row>3</xdr:row>
      <xdr:rowOff>19050</xdr:rowOff>
    </xdr:to>
    <xdr:sp macro="" textlink="">
      <xdr:nvSpPr>
        <xdr:cNvPr id="2" name="TextBox 1">
          <a:extLst>
            <a:ext uri="{FF2B5EF4-FFF2-40B4-BE49-F238E27FC236}">
              <a16:creationId xmlns="" xmlns:a16="http://schemas.microsoft.com/office/drawing/2014/main" id="{00000000-0008-0000-1300-000002000000}"/>
            </a:ext>
          </a:extLst>
        </xdr:cNvPr>
        <xdr:cNvSpPr txBox="1"/>
      </xdr:nvSpPr>
      <xdr:spPr>
        <a:xfrm>
          <a:off x="7629524" y="171450"/>
          <a:ext cx="6334126" cy="438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GB" sz="1100" b="0">
              <a:solidFill>
                <a:schemeClr val="dk1"/>
              </a:solidFill>
              <a:effectLst/>
              <a:latin typeface="Times New Roman" panose="02020603050405020304" pitchFamily="18" charset="0"/>
              <a:ea typeface="+mn-ea"/>
              <a:cs typeface="Times New Roman" panose="02020603050405020304" pitchFamily="18" charset="0"/>
            </a:rPr>
            <a:t>Supplementary</a:t>
          </a:r>
          <a:r>
            <a:rPr lang="en-GB" sz="1100" b="0" baseline="0">
              <a:solidFill>
                <a:schemeClr val="dk1"/>
              </a:solidFill>
              <a:effectLst/>
              <a:latin typeface="Times New Roman" panose="02020603050405020304" pitchFamily="18" charset="0"/>
              <a:ea typeface="+mn-ea"/>
              <a:cs typeface="Times New Roman" panose="02020603050405020304" pitchFamily="18" charset="0"/>
            </a:rPr>
            <a:t> </a:t>
          </a:r>
          <a:r>
            <a:rPr lang="en-GB" sz="1100" b="0">
              <a:solidFill>
                <a:schemeClr val="dk1"/>
              </a:solidFill>
              <a:effectLst/>
              <a:latin typeface="Times New Roman" panose="02020603050405020304" pitchFamily="18" charset="0"/>
              <a:ea typeface="+mn-ea"/>
              <a:cs typeface="Times New Roman" panose="02020603050405020304" pitchFamily="18" charset="0"/>
            </a:rPr>
            <a:t>Table 20. Unit-cost for the marketable goods used in the inventory of the assessment (default values). Amounts are expressed on a wet mass basis, unless otherwise stated. </a:t>
          </a:r>
        </a:p>
        <a:p>
          <a:endParaRPr lang="en-GB" sz="1100" b="0">
            <a:latin typeface="Times New Roman" panose="02020603050405020304" pitchFamily="18" charset="0"/>
            <a:cs typeface="Times New Roman" panose="02020603050405020304" pitchFamily="18"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Z58"/>
  <sheetViews>
    <sheetView tabSelected="1" topLeftCell="H1" workbookViewId="0">
      <selection activeCell="U11" sqref="U11"/>
    </sheetView>
  </sheetViews>
  <sheetFormatPr defaultRowHeight="15" x14ac:dyDescent="0.25"/>
  <cols>
    <col min="9" max="9" width="6.7109375" style="4" customWidth="1"/>
  </cols>
  <sheetData>
    <row r="1" spans="1:17" x14ac:dyDescent="0.25">
      <c r="A1" s="103" t="s">
        <v>1012</v>
      </c>
      <c r="B1" s="103"/>
      <c r="C1" s="103"/>
      <c r="D1" s="103"/>
      <c r="E1" s="103"/>
      <c r="F1" s="103"/>
      <c r="G1" s="103"/>
      <c r="H1" s="103"/>
      <c r="I1" s="112"/>
      <c r="J1" s="104" t="s">
        <v>1013</v>
      </c>
      <c r="K1" s="113"/>
      <c r="L1" s="113"/>
      <c r="M1" s="113"/>
      <c r="N1" s="113"/>
      <c r="O1" s="113"/>
      <c r="P1" s="113"/>
      <c r="Q1" s="113"/>
    </row>
    <row r="2" spans="1:17" x14ac:dyDescent="0.25">
      <c r="A2" s="106"/>
      <c r="B2" s="107" t="s">
        <v>973</v>
      </c>
      <c r="C2" s="107" t="s">
        <v>974</v>
      </c>
      <c r="D2" s="107" t="s">
        <v>975</v>
      </c>
      <c r="E2" s="107" t="s">
        <v>976</v>
      </c>
      <c r="F2" s="107" t="s">
        <v>977</v>
      </c>
      <c r="G2" s="107" t="s">
        <v>978</v>
      </c>
      <c r="H2" s="107" t="s">
        <v>979</v>
      </c>
      <c r="I2" s="113"/>
      <c r="J2" s="106"/>
      <c r="K2" s="107" t="s">
        <v>973</v>
      </c>
      <c r="L2" s="107" t="s">
        <v>974</v>
      </c>
      <c r="M2" s="107" t="s">
        <v>975</v>
      </c>
      <c r="N2" s="107" t="s">
        <v>976</v>
      </c>
      <c r="O2" s="107" t="s">
        <v>977</v>
      </c>
      <c r="P2" s="107" t="s">
        <v>978</v>
      </c>
      <c r="Q2" s="107" t="s">
        <v>979</v>
      </c>
    </row>
    <row r="3" spans="1:17" x14ac:dyDescent="0.25">
      <c r="A3" s="106" t="s">
        <v>973</v>
      </c>
      <c r="B3" s="108"/>
      <c r="C3" s="109">
        <v>1</v>
      </c>
      <c r="D3" s="109" t="s">
        <v>342</v>
      </c>
      <c r="E3" s="109" t="s">
        <v>342</v>
      </c>
      <c r="F3" s="109" t="s">
        <v>342</v>
      </c>
      <c r="G3" s="110">
        <v>1</v>
      </c>
      <c r="H3" s="109">
        <v>1</v>
      </c>
      <c r="I3" s="115"/>
      <c r="J3" s="106" t="s">
        <v>973</v>
      </c>
      <c r="K3" s="108"/>
      <c r="L3" s="109">
        <v>0.61699999999999999</v>
      </c>
      <c r="M3" s="110">
        <v>0.69199999999999995</v>
      </c>
      <c r="N3" s="110">
        <v>0.67300000000000004</v>
      </c>
      <c r="O3" s="110">
        <v>0.56399999999999995</v>
      </c>
      <c r="P3" s="110">
        <v>1</v>
      </c>
      <c r="Q3" s="109">
        <v>0.53400000000000003</v>
      </c>
    </row>
    <row r="4" spans="1:17" x14ac:dyDescent="0.25">
      <c r="A4" s="106" t="s">
        <v>974</v>
      </c>
      <c r="B4" s="108"/>
      <c r="C4" s="108"/>
      <c r="D4" s="110">
        <v>0</v>
      </c>
      <c r="E4" s="110">
        <v>0</v>
      </c>
      <c r="F4" s="110">
        <v>0</v>
      </c>
      <c r="G4" s="110">
        <v>4.5999999999999999E-2</v>
      </c>
      <c r="H4" s="110">
        <v>0.999</v>
      </c>
      <c r="I4" s="115"/>
      <c r="J4" s="106" t="s">
        <v>974</v>
      </c>
      <c r="K4" s="108"/>
      <c r="L4" s="108"/>
      <c r="M4" s="110">
        <v>0.54900000000000004</v>
      </c>
      <c r="N4" s="110">
        <v>0.53600000000000003</v>
      </c>
      <c r="O4" s="110">
        <v>0.32400000000000001</v>
      </c>
      <c r="P4" s="110">
        <v>1</v>
      </c>
      <c r="Q4" s="110">
        <v>0.21299999999999999</v>
      </c>
    </row>
    <row r="5" spans="1:17" x14ac:dyDescent="0.25">
      <c r="A5" s="106" t="s">
        <v>975</v>
      </c>
      <c r="B5" s="108"/>
      <c r="C5" s="108"/>
      <c r="D5" s="108"/>
      <c r="E5" s="109" t="s">
        <v>342</v>
      </c>
      <c r="F5" s="109" t="s">
        <v>342</v>
      </c>
      <c r="G5" s="109">
        <v>1</v>
      </c>
      <c r="H5" s="109">
        <v>1</v>
      </c>
      <c r="I5" s="115"/>
      <c r="J5" s="106" t="s">
        <v>975</v>
      </c>
      <c r="K5" s="108"/>
      <c r="L5" s="108"/>
      <c r="M5" s="108"/>
      <c r="N5" s="109">
        <v>0.48299999999999998</v>
      </c>
      <c r="O5" s="109">
        <v>0.34</v>
      </c>
      <c r="P5" s="109">
        <v>1</v>
      </c>
      <c r="Q5" s="109">
        <v>0.27600000000000002</v>
      </c>
    </row>
    <row r="6" spans="1:17" x14ac:dyDescent="0.25">
      <c r="A6" s="106" t="s">
        <v>976</v>
      </c>
      <c r="B6" s="108"/>
      <c r="C6" s="108"/>
      <c r="D6" s="108"/>
      <c r="E6" s="108"/>
      <c r="F6" s="109" t="s">
        <v>342</v>
      </c>
      <c r="G6" s="109">
        <v>1</v>
      </c>
      <c r="H6" s="109">
        <v>1</v>
      </c>
      <c r="I6" s="115"/>
      <c r="J6" s="106" t="s">
        <v>976</v>
      </c>
      <c r="K6" s="108"/>
      <c r="L6" s="108"/>
      <c r="M6" s="108"/>
      <c r="N6" s="108"/>
      <c r="O6" s="109">
        <v>0.374</v>
      </c>
      <c r="P6" s="109">
        <v>1</v>
      </c>
      <c r="Q6" s="109">
        <v>0.29299999999999998</v>
      </c>
    </row>
    <row r="7" spans="1:17" x14ac:dyDescent="0.25">
      <c r="A7" s="106" t="s">
        <v>977</v>
      </c>
      <c r="B7" s="108"/>
      <c r="C7" s="108"/>
      <c r="D7" s="108"/>
      <c r="E7" s="108"/>
      <c r="F7" s="108"/>
      <c r="G7" s="109">
        <v>1</v>
      </c>
      <c r="H7" s="109">
        <v>1</v>
      </c>
      <c r="I7" s="115"/>
      <c r="J7" s="106" t="s">
        <v>977</v>
      </c>
      <c r="K7" s="108"/>
      <c r="L7" s="108"/>
      <c r="M7" s="108"/>
      <c r="N7" s="108"/>
      <c r="O7" s="108"/>
      <c r="P7" s="109">
        <v>1</v>
      </c>
      <c r="Q7" s="110">
        <v>9.7000000000000003E-2</v>
      </c>
    </row>
    <row r="8" spans="1:17" x14ac:dyDescent="0.25">
      <c r="A8" s="106" t="s">
        <v>978</v>
      </c>
      <c r="B8" s="108"/>
      <c r="C8" s="108"/>
      <c r="D8" s="108"/>
      <c r="E8" s="108"/>
      <c r="F8" s="108"/>
      <c r="G8" s="108"/>
      <c r="H8" s="109">
        <v>1</v>
      </c>
      <c r="I8" s="115"/>
      <c r="J8" s="106" t="s">
        <v>978</v>
      </c>
      <c r="K8" s="108"/>
      <c r="L8" s="108"/>
      <c r="M8" s="108"/>
      <c r="N8" s="108"/>
      <c r="O8" s="108"/>
      <c r="P8" s="108"/>
      <c r="Q8" s="109">
        <v>0</v>
      </c>
    </row>
    <row r="9" spans="1:17" x14ac:dyDescent="0.25">
      <c r="A9" s="106" t="s">
        <v>979</v>
      </c>
      <c r="B9" s="108"/>
      <c r="C9" s="108"/>
      <c r="D9" s="108"/>
      <c r="E9" s="108"/>
      <c r="F9" s="108"/>
      <c r="G9" s="108"/>
      <c r="H9" s="108"/>
      <c r="I9" s="105"/>
      <c r="J9" s="106" t="s">
        <v>979</v>
      </c>
      <c r="K9" s="108"/>
      <c r="L9" s="108"/>
      <c r="M9" s="108"/>
      <c r="N9" s="108"/>
      <c r="O9" s="108"/>
      <c r="P9" s="108"/>
      <c r="Q9" s="108"/>
    </row>
    <row r="10" spans="1:17" s="96" customFormat="1" x14ac:dyDescent="0.25">
      <c r="A10" s="104"/>
      <c r="B10" s="105"/>
      <c r="C10" s="105"/>
      <c r="D10" s="105"/>
      <c r="E10" s="105"/>
      <c r="F10" s="105"/>
      <c r="G10" s="105"/>
      <c r="H10" s="105"/>
      <c r="I10" s="105"/>
      <c r="J10" s="104"/>
      <c r="K10" s="105"/>
      <c r="L10" s="105"/>
      <c r="M10" s="105"/>
      <c r="N10" s="105"/>
      <c r="O10" s="105"/>
      <c r="P10" s="105"/>
      <c r="Q10" s="105"/>
    </row>
    <row r="11" spans="1:17" x14ac:dyDescent="0.25">
      <c r="A11" s="111" t="s">
        <v>1002</v>
      </c>
      <c r="B11" s="112"/>
      <c r="C11" s="113"/>
      <c r="D11" s="113"/>
      <c r="E11" s="113"/>
      <c r="F11" s="113"/>
      <c r="G11" s="113"/>
      <c r="H11" s="113"/>
      <c r="I11" s="113"/>
      <c r="J11" s="104" t="s">
        <v>1003</v>
      </c>
      <c r="K11" s="113"/>
      <c r="L11" s="113"/>
      <c r="M11" s="113"/>
      <c r="N11" s="113"/>
      <c r="O11" s="113"/>
      <c r="P11" s="113"/>
      <c r="Q11" s="113"/>
    </row>
    <row r="12" spans="1:17" x14ac:dyDescent="0.25">
      <c r="A12" s="106" t="s">
        <v>973</v>
      </c>
      <c r="B12" s="108"/>
      <c r="C12" s="109">
        <v>0.92900000000000005</v>
      </c>
      <c r="D12" s="109">
        <v>0.98299999999999998</v>
      </c>
      <c r="E12" s="109">
        <v>0.99</v>
      </c>
      <c r="F12" s="109">
        <v>0.97199999999999998</v>
      </c>
      <c r="G12" s="110">
        <v>7.0000000000000007E-2</v>
      </c>
      <c r="H12" s="109">
        <v>0.999</v>
      </c>
      <c r="I12" s="115"/>
      <c r="J12" s="106" t="s">
        <v>973</v>
      </c>
      <c r="K12" s="108"/>
      <c r="L12" s="109">
        <v>0.66600000000000004</v>
      </c>
      <c r="M12" s="109">
        <v>0.90100000000000002</v>
      </c>
      <c r="N12" s="109">
        <v>0.66300000000000003</v>
      </c>
      <c r="O12" s="109">
        <v>0.98499999999999999</v>
      </c>
      <c r="P12" s="110">
        <v>1</v>
      </c>
      <c r="Q12" s="109">
        <v>1</v>
      </c>
    </row>
    <row r="13" spans="1:17" x14ac:dyDescent="0.25">
      <c r="A13" s="106" t="s">
        <v>974</v>
      </c>
      <c r="B13" s="108"/>
      <c r="C13" s="108"/>
      <c r="D13" s="110">
        <v>0.16800000000000001</v>
      </c>
      <c r="E13" s="110">
        <v>0.17199999999999999</v>
      </c>
      <c r="F13" s="110">
        <v>0.16</v>
      </c>
      <c r="G13" s="110">
        <v>1.4E-2</v>
      </c>
      <c r="H13" s="110">
        <v>0.27</v>
      </c>
      <c r="I13" s="115"/>
      <c r="J13" s="106" t="s">
        <v>974</v>
      </c>
      <c r="K13" s="108"/>
      <c r="L13" s="108"/>
      <c r="M13" s="110">
        <v>0.54800000000000004</v>
      </c>
      <c r="N13" s="110">
        <v>0.39600000000000002</v>
      </c>
      <c r="O13" s="110">
        <v>0.77600000000000002</v>
      </c>
      <c r="P13" s="110">
        <v>1</v>
      </c>
      <c r="Q13" s="110">
        <v>0.95</v>
      </c>
    </row>
    <row r="14" spans="1:17" x14ac:dyDescent="0.25">
      <c r="A14" s="106" t="s">
        <v>975</v>
      </c>
      <c r="B14" s="108"/>
      <c r="C14" s="108"/>
      <c r="D14" s="108"/>
      <c r="E14" s="109">
        <v>0.56399999999999995</v>
      </c>
      <c r="F14" s="109">
        <v>0.40799999999999997</v>
      </c>
      <c r="G14" s="109">
        <v>2.1999999999999999E-2</v>
      </c>
      <c r="H14" s="109">
        <v>0.99199999999999999</v>
      </c>
      <c r="I14" s="115"/>
      <c r="J14" s="106" t="s">
        <v>975</v>
      </c>
      <c r="K14" s="108"/>
      <c r="L14" s="108"/>
      <c r="M14" s="108"/>
      <c r="N14" s="109">
        <v>0.115</v>
      </c>
      <c r="O14" s="109">
        <v>0.95399999999999996</v>
      </c>
      <c r="P14" s="109">
        <v>1</v>
      </c>
      <c r="Q14" s="109">
        <v>0.998</v>
      </c>
    </row>
    <row r="15" spans="1:17" x14ac:dyDescent="0.25">
      <c r="A15" s="106" t="s">
        <v>976</v>
      </c>
      <c r="B15" s="108"/>
      <c r="C15" s="108"/>
      <c r="D15" s="108"/>
      <c r="E15" s="108"/>
      <c r="F15" s="109">
        <v>0.34</v>
      </c>
      <c r="G15" s="109">
        <v>2.4E-2</v>
      </c>
      <c r="H15" s="109">
        <v>0.995</v>
      </c>
      <c r="I15" s="115"/>
      <c r="J15" s="106" t="s">
        <v>976</v>
      </c>
      <c r="K15" s="108"/>
      <c r="L15" s="108"/>
      <c r="M15" s="108"/>
      <c r="N15" s="108"/>
      <c r="O15" s="109">
        <v>0.998</v>
      </c>
      <c r="P15" s="109">
        <v>1</v>
      </c>
      <c r="Q15" s="109">
        <v>1</v>
      </c>
    </row>
    <row r="16" spans="1:17" x14ac:dyDescent="0.25">
      <c r="A16" s="106" t="s">
        <v>977</v>
      </c>
      <c r="B16" s="108"/>
      <c r="C16" s="108"/>
      <c r="D16" s="108"/>
      <c r="E16" s="108"/>
      <c r="F16" s="108"/>
      <c r="G16" s="109">
        <v>2.8000000000000001E-2</v>
      </c>
      <c r="H16" s="109">
        <v>1</v>
      </c>
      <c r="I16" s="115"/>
      <c r="J16" s="106" t="s">
        <v>977</v>
      </c>
      <c r="K16" s="108"/>
      <c r="L16" s="108"/>
      <c r="M16" s="108"/>
      <c r="N16" s="108"/>
      <c r="O16" s="108"/>
      <c r="P16" s="109">
        <v>1</v>
      </c>
      <c r="Q16" s="109">
        <v>1</v>
      </c>
    </row>
    <row r="17" spans="1:26" x14ac:dyDescent="0.25">
      <c r="A17" s="106" t="s">
        <v>978</v>
      </c>
      <c r="B17" s="108"/>
      <c r="C17" s="108"/>
      <c r="D17" s="108"/>
      <c r="E17" s="108"/>
      <c r="F17" s="108"/>
      <c r="G17" s="108"/>
      <c r="H17" s="109">
        <v>0.98899999999999999</v>
      </c>
      <c r="I17" s="115"/>
      <c r="J17" s="106" t="s">
        <v>978</v>
      </c>
      <c r="K17" s="108"/>
      <c r="L17" s="108"/>
      <c r="M17" s="108"/>
      <c r="N17" s="108"/>
      <c r="O17" s="108"/>
      <c r="P17" s="108"/>
      <c r="Q17" s="109">
        <v>0</v>
      </c>
    </row>
    <row r="18" spans="1:26" x14ac:dyDescent="0.25">
      <c r="A18" s="106" t="s">
        <v>979</v>
      </c>
      <c r="B18" s="108"/>
      <c r="C18" s="108"/>
      <c r="D18" s="108"/>
      <c r="E18" s="108"/>
      <c r="F18" s="108"/>
      <c r="G18" s="108"/>
      <c r="H18" s="108"/>
      <c r="I18" s="105"/>
      <c r="J18" s="106" t="s">
        <v>979</v>
      </c>
      <c r="K18" s="108"/>
      <c r="L18" s="108"/>
      <c r="M18" s="108"/>
      <c r="N18" s="108"/>
      <c r="O18" s="108"/>
      <c r="P18" s="108"/>
      <c r="Q18" s="108"/>
    </row>
    <row r="19" spans="1:26" s="96" customFormat="1" x14ac:dyDescent="0.25">
      <c r="A19" s="104"/>
      <c r="B19" s="105"/>
      <c r="C19" s="105"/>
      <c r="D19" s="105"/>
      <c r="E19" s="105"/>
      <c r="F19" s="105"/>
      <c r="G19" s="105"/>
      <c r="H19" s="105"/>
      <c r="I19" s="105"/>
      <c r="J19" s="104"/>
      <c r="K19" s="105"/>
      <c r="L19" s="105"/>
      <c r="M19" s="105"/>
      <c r="N19" s="105"/>
      <c r="O19" s="105"/>
      <c r="P19" s="105"/>
      <c r="Q19" s="105"/>
    </row>
    <row r="20" spans="1:26" x14ac:dyDescent="0.25">
      <c r="A20" s="111" t="s">
        <v>1004</v>
      </c>
      <c r="B20" s="112"/>
      <c r="C20" s="113"/>
      <c r="D20" s="113"/>
      <c r="E20" s="113"/>
      <c r="F20" s="113"/>
      <c r="G20" s="113"/>
      <c r="H20" s="113"/>
      <c r="I20" s="113"/>
      <c r="J20" s="104" t="s">
        <v>1005</v>
      </c>
      <c r="K20" s="113"/>
      <c r="L20" s="113"/>
      <c r="M20" s="113"/>
      <c r="N20" s="113"/>
      <c r="O20" s="113"/>
      <c r="P20" s="113"/>
      <c r="Q20" s="113"/>
    </row>
    <row r="21" spans="1:26" x14ac:dyDescent="0.25">
      <c r="A21" s="106"/>
      <c r="B21" s="107" t="s">
        <v>973</v>
      </c>
      <c r="C21" s="107" t="s">
        <v>974</v>
      </c>
      <c r="D21" s="107" t="s">
        <v>975</v>
      </c>
      <c r="E21" s="107" t="s">
        <v>976</v>
      </c>
      <c r="F21" s="107" t="s">
        <v>977</v>
      </c>
      <c r="G21" s="107" t="s">
        <v>978</v>
      </c>
      <c r="H21" s="107" t="s">
        <v>979</v>
      </c>
      <c r="I21" s="113"/>
      <c r="J21" s="106"/>
      <c r="K21" s="107" t="s">
        <v>973</v>
      </c>
      <c r="L21" s="107" t="s">
        <v>974</v>
      </c>
      <c r="M21" s="107" t="s">
        <v>975</v>
      </c>
      <c r="N21" s="107" t="s">
        <v>976</v>
      </c>
      <c r="O21" s="107" t="s">
        <v>977</v>
      </c>
      <c r="P21" s="107" t="s">
        <v>978</v>
      </c>
      <c r="Q21" s="107" t="s">
        <v>979</v>
      </c>
    </row>
    <row r="22" spans="1:26" x14ac:dyDescent="0.25">
      <c r="A22" s="106" t="s">
        <v>973</v>
      </c>
      <c r="B22" s="108"/>
      <c r="C22" s="109">
        <v>0</v>
      </c>
      <c r="D22" s="109">
        <v>0.91700000000000004</v>
      </c>
      <c r="E22" s="109">
        <v>0.51300000000000001</v>
      </c>
      <c r="F22" s="109">
        <v>0.53900000000000003</v>
      </c>
      <c r="G22" s="110">
        <v>0</v>
      </c>
      <c r="H22" s="109">
        <v>0.57899999999999996</v>
      </c>
      <c r="I22" s="115"/>
      <c r="J22" s="106" t="s">
        <v>973</v>
      </c>
      <c r="K22" s="108"/>
      <c r="L22" s="109">
        <v>9.2999999999999999E-2</v>
      </c>
      <c r="M22" s="109">
        <v>0.47</v>
      </c>
      <c r="N22" s="109">
        <v>0.46500000000000002</v>
      </c>
      <c r="O22" s="109">
        <v>0.47699999999999998</v>
      </c>
      <c r="P22" s="110">
        <v>0.16200000000000001</v>
      </c>
      <c r="Q22" s="109">
        <v>0.48399999999999999</v>
      </c>
    </row>
    <row r="23" spans="1:26" x14ac:dyDescent="0.25">
      <c r="A23" s="106" t="s">
        <v>974</v>
      </c>
      <c r="B23" s="108"/>
      <c r="C23" s="108"/>
      <c r="D23" s="110">
        <v>1</v>
      </c>
      <c r="E23" s="110">
        <v>1</v>
      </c>
      <c r="F23" s="110">
        <v>1</v>
      </c>
      <c r="G23" s="110">
        <v>1.7999999999999999E-2</v>
      </c>
      <c r="H23" s="110">
        <v>1</v>
      </c>
      <c r="I23" s="115"/>
      <c r="J23" s="106" t="s">
        <v>974</v>
      </c>
      <c r="K23" s="108"/>
      <c r="L23" s="108"/>
      <c r="M23" s="110">
        <v>0.89900000000000002</v>
      </c>
      <c r="N23" s="110">
        <v>1</v>
      </c>
      <c r="O23" s="110">
        <v>0.89900000000000002</v>
      </c>
      <c r="P23" s="110">
        <v>0.63200000000000001</v>
      </c>
      <c r="Q23" s="110">
        <v>0.9</v>
      </c>
    </row>
    <row r="24" spans="1:26" x14ac:dyDescent="0.25">
      <c r="A24" s="106" t="s">
        <v>975</v>
      </c>
      <c r="B24" s="108"/>
      <c r="C24" s="108"/>
      <c r="D24" s="108"/>
      <c r="E24" s="109">
        <v>0.36</v>
      </c>
      <c r="F24" s="109">
        <v>9.7000000000000003E-2</v>
      </c>
      <c r="G24" s="109">
        <v>0</v>
      </c>
      <c r="H24" s="109">
        <v>0.11700000000000001</v>
      </c>
      <c r="I24" s="115"/>
      <c r="J24" s="106" t="s">
        <v>975</v>
      </c>
      <c r="K24" s="108"/>
      <c r="L24" s="108"/>
      <c r="M24" s="108"/>
      <c r="N24" s="109">
        <v>0.58399999999999996</v>
      </c>
      <c r="O24" s="109">
        <v>0.74199999999999999</v>
      </c>
      <c r="P24" s="109">
        <v>0.16200000000000001</v>
      </c>
      <c r="Q24" s="109">
        <v>0.879</v>
      </c>
    </row>
    <row r="25" spans="1:26" x14ac:dyDescent="0.25">
      <c r="A25" s="106" t="s">
        <v>976</v>
      </c>
      <c r="B25" s="108"/>
      <c r="C25" s="108"/>
      <c r="D25" s="108"/>
      <c r="E25" s="108"/>
      <c r="F25" s="109">
        <v>0.5</v>
      </c>
      <c r="G25" s="109">
        <v>0</v>
      </c>
      <c r="H25" s="109">
        <v>0.52300000000000002</v>
      </c>
      <c r="I25" s="115"/>
      <c r="J25" s="106" t="s">
        <v>976</v>
      </c>
      <c r="K25" s="108"/>
      <c r="L25" s="108"/>
      <c r="M25" s="108"/>
      <c r="N25" s="108"/>
      <c r="O25" s="109">
        <v>0.69299999999999995</v>
      </c>
      <c r="P25" s="109">
        <v>0.16200000000000001</v>
      </c>
      <c r="Q25" s="109">
        <v>0.86</v>
      </c>
    </row>
    <row r="26" spans="1:26" x14ac:dyDescent="0.25">
      <c r="A26" s="106" t="s">
        <v>977</v>
      </c>
      <c r="B26" s="108"/>
      <c r="C26" s="108"/>
      <c r="D26" s="108"/>
      <c r="E26" s="108"/>
      <c r="F26" s="108"/>
      <c r="G26" s="109">
        <v>0</v>
      </c>
      <c r="H26" s="109">
        <v>0.54</v>
      </c>
      <c r="I26" s="115"/>
      <c r="J26" s="106" t="s">
        <v>977</v>
      </c>
      <c r="K26" s="108"/>
      <c r="L26" s="108"/>
      <c r="M26" s="108"/>
      <c r="N26" s="108"/>
      <c r="O26" s="108"/>
      <c r="P26" s="109">
        <v>0.159</v>
      </c>
      <c r="Q26" s="109">
        <v>0.99</v>
      </c>
    </row>
    <row r="27" spans="1:26" x14ac:dyDescent="0.25">
      <c r="A27" s="106" t="s">
        <v>978</v>
      </c>
      <c r="B27" s="108"/>
      <c r="C27" s="108"/>
      <c r="D27" s="108"/>
      <c r="E27" s="108"/>
      <c r="F27" s="108"/>
      <c r="G27" s="108"/>
      <c r="H27" s="109">
        <v>1</v>
      </c>
      <c r="I27" s="115"/>
      <c r="J27" s="106" t="s">
        <v>978</v>
      </c>
      <c r="K27" s="108"/>
      <c r="L27" s="108"/>
      <c r="M27" s="108"/>
      <c r="N27" s="108"/>
      <c r="O27" s="108"/>
      <c r="P27" s="108"/>
      <c r="Q27" s="109">
        <v>0.84099999999999997</v>
      </c>
    </row>
    <row r="28" spans="1:26" x14ac:dyDescent="0.25">
      <c r="A28" s="106" t="s">
        <v>979</v>
      </c>
      <c r="B28" s="108"/>
      <c r="C28" s="108"/>
      <c r="D28" s="108"/>
      <c r="E28" s="108"/>
      <c r="F28" s="108"/>
      <c r="G28" s="108"/>
      <c r="H28" s="108"/>
      <c r="I28" s="105"/>
      <c r="J28" s="106" t="s">
        <v>979</v>
      </c>
      <c r="K28" s="108"/>
      <c r="L28" s="108"/>
      <c r="M28" s="108"/>
      <c r="N28" s="108"/>
      <c r="O28" s="108"/>
      <c r="P28" s="108"/>
      <c r="Q28" s="108"/>
    </row>
    <row r="29" spans="1:26" s="96" customFormat="1" x14ac:dyDescent="0.25">
      <c r="A29" s="104"/>
      <c r="B29" s="105"/>
      <c r="C29" s="105"/>
      <c r="D29" s="105"/>
      <c r="E29" s="105"/>
      <c r="F29" s="105"/>
      <c r="G29" s="105"/>
      <c r="H29" s="105"/>
      <c r="I29" s="105"/>
      <c r="J29" s="104"/>
      <c r="K29" s="105"/>
      <c r="L29" s="105"/>
      <c r="M29" s="105"/>
      <c r="N29" s="105"/>
      <c r="O29" s="105"/>
      <c r="P29" s="105"/>
      <c r="Q29" s="105"/>
    </row>
    <row r="30" spans="1:26" x14ac:dyDescent="0.25">
      <c r="A30" s="104" t="s">
        <v>1006</v>
      </c>
      <c r="B30" s="105"/>
      <c r="C30" s="105"/>
      <c r="D30" s="105"/>
      <c r="E30" s="105"/>
      <c r="F30" s="105"/>
      <c r="G30" s="105"/>
      <c r="H30" s="105"/>
      <c r="I30" s="105"/>
      <c r="J30" s="104" t="s">
        <v>1007</v>
      </c>
      <c r="K30" s="105"/>
      <c r="L30" s="105"/>
      <c r="M30" s="105"/>
      <c r="N30" s="105"/>
      <c r="O30" s="105"/>
      <c r="P30" s="105"/>
      <c r="Q30" s="105"/>
    </row>
    <row r="31" spans="1:26" x14ac:dyDescent="0.25">
      <c r="A31" s="106"/>
      <c r="B31" s="107" t="s">
        <v>973</v>
      </c>
      <c r="C31" s="107" t="s">
        <v>974</v>
      </c>
      <c r="D31" s="107" t="s">
        <v>975</v>
      </c>
      <c r="E31" s="107" t="s">
        <v>976</v>
      </c>
      <c r="F31" s="107" t="s">
        <v>977</v>
      </c>
      <c r="G31" s="107" t="s">
        <v>978</v>
      </c>
      <c r="H31" s="107" t="s">
        <v>979</v>
      </c>
      <c r="I31" s="113"/>
      <c r="J31" s="106"/>
      <c r="K31" s="107" t="s">
        <v>973</v>
      </c>
      <c r="L31" s="107" t="s">
        <v>974</v>
      </c>
      <c r="M31" s="107" t="s">
        <v>975</v>
      </c>
      <c r="N31" s="107" t="s">
        <v>976</v>
      </c>
      <c r="O31" s="107" t="s">
        <v>977</v>
      </c>
      <c r="P31" s="107" t="s">
        <v>978</v>
      </c>
      <c r="Q31" s="107" t="s">
        <v>979</v>
      </c>
      <c r="S31" s="104"/>
      <c r="T31" s="113"/>
      <c r="U31" s="113"/>
      <c r="V31" s="113"/>
      <c r="W31" s="113"/>
      <c r="X31" s="113"/>
      <c r="Y31" s="113"/>
      <c r="Z31" s="113"/>
    </row>
    <row r="32" spans="1:26" x14ac:dyDescent="0.25">
      <c r="A32" s="106" t="s">
        <v>973</v>
      </c>
      <c r="B32" s="108"/>
      <c r="C32" s="109">
        <v>0.997</v>
      </c>
      <c r="D32" s="109">
        <v>1</v>
      </c>
      <c r="E32" s="109">
        <v>3.6999999999999998E-2</v>
      </c>
      <c r="F32" s="109">
        <v>0.90500000000000003</v>
      </c>
      <c r="G32" s="110">
        <v>0.69199999999999995</v>
      </c>
      <c r="H32" s="109">
        <v>0.92300000000000004</v>
      </c>
      <c r="I32" s="115"/>
      <c r="J32" s="106" t="s">
        <v>973</v>
      </c>
      <c r="K32" s="108"/>
      <c r="L32" s="109">
        <v>0.996</v>
      </c>
      <c r="M32" s="109">
        <v>1</v>
      </c>
      <c r="N32" s="109">
        <v>3.4000000000000002E-2</v>
      </c>
      <c r="O32" s="109">
        <v>0.93700000000000006</v>
      </c>
      <c r="P32" s="110">
        <v>0.58199999999999996</v>
      </c>
      <c r="Q32" s="109">
        <v>0.96299999999999997</v>
      </c>
      <c r="S32" s="104"/>
      <c r="T32" s="105"/>
      <c r="U32" s="115"/>
      <c r="V32" s="115"/>
      <c r="W32" s="115"/>
      <c r="X32" s="115"/>
      <c r="Y32" s="115"/>
      <c r="Z32" s="115"/>
    </row>
    <row r="33" spans="1:26" x14ac:dyDescent="0.25">
      <c r="A33" s="106" t="s">
        <v>974</v>
      </c>
      <c r="B33" s="108"/>
      <c r="C33" s="108"/>
      <c r="D33" s="110">
        <v>1</v>
      </c>
      <c r="E33" s="110">
        <v>0</v>
      </c>
      <c r="F33" s="110">
        <v>5.0000000000000001E-3</v>
      </c>
      <c r="G33" s="110">
        <v>0</v>
      </c>
      <c r="H33" s="110">
        <v>0.01</v>
      </c>
      <c r="I33" s="115"/>
      <c r="J33" s="106" t="s">
        <v>974</v>
      </c>
      <c r="K33" s="108"/>
      <c r="L33" s="108"/>
      <c r="M33" s="110">
        <v>1</v>
      </c>
      <c r="N33" s="110">
        <v>0</v>
      </c>
      <c r="O33" s="110">
        <v>1.7999999999999999E-2</v>
      </c>
      <c r="P33" s="110">
        <v>0</v>
      </c>
      <c r="Q33" s="110">
        <v>2.8000000000000001E-2</v>
      </c>
      <c r="S33" s="104"/>
      <c r="T33" s="105"/>
      <c r="U33" s="105"/>
      <c r="V33" s="115"/>
      <c r="W33" s="115"/>
      <c r="X33" s="115"/>
      <c r="Y33" s="115"/>
      <c r="Z33" s="115"/>
    </row>
    <row r="34" spans="1:26" x14ac:dyDescent="0.25">
      <c r="A34" s="106" t="s">
        <v>975</v>
      </c>
      <c r="B34" s="108"/>
      <c r="C34" s="108"/>
      <c r="D34" s="108"/>
      <c r="E34" s="109">
        <v>0</v>
      </c>
      <c r="F34" s="109">
        <v>0</v>
      </c>
      <c r="G34" s="109">
        <v>0</v>
      </c>
      <c r="H34" s="109">
        <v>0</v>
      </c>
      <c r="I34" s="115"/>
      <c r="J34" s="106" t="s">
        <v>975</v>
      </c>
      <c r="K34" s="108"/>
      <c r="L34" s="108"/>
      <c r="M34" s="108"/>
      <c r="N34" s="109">
        <v>0</v>
      </c>
      <c r="O34" s="109">
        <v>0</v>
      </c>
      <c r="P34" s="109">
        <v>0</v>
      </c>
      <c r="Q34" s="109">
        <v>0</v>
      </c>
      <c r="S34" s="104"/>
      <c r="T34" s="105"/>
      <c r="U34" s="105"/>
      <c r="V34" s="105"/>
      <c r="W34" s="115"/>
      <c r="X34" s="115"/>
      <c r="Y34" s="115"/>
      <c r="Z34" s="115"/>
    </row>
    <row r="35" spans="1:26" x14ac:dyDescent="0.25">
      <c r="A35" s="106" t="s">
        <v>976</v>
      </c>
      <c r="B35" s="108"/>
      <c r="C35" s="108"/>
      <c r="D35" s="108"/>
      <c r="E35" s="108"/>
      <c r="F35" s="109">
        <v>1</v>
      </c>
      <c r="G35" s="109">
        <v>1</v>
      </c>
      <c r="H35" s="109">
        <v>1</v>
      </c>
      <c r="I35" s="115"/>
      <c r="J35" s="106" t="s">
        <v>976</v>
      </c>
      <c r="K35" s="108"/>
      <c r="L35" s="108"/>
      <c r="M35" s="108"/>
      <c r="N35" s="108"/>
      <c r="O35" s="109">
        <v>1</v>
      </c>
      <c r="P35" s="109">
        <v>1</v>
      </c>
      <c r="Q35" s="109">
        <v>1</v>
      </c>
      <c r="S35" s="104"/>
      <c r="T35" s="105"/>
      <c r="U35" s="105"/>
      <c r="V35" s="105"/>
      <c r="W35" s="105"/>
      <c r="X35" s="115"/>
      <c r="Y35" s="115"/>
      <c r="Z35" s="115"/>
    </row>
    <row r="36" spans="1:26" x14ac:dyDescent="0.25">
      <c r="A36" s="106" t="s">
        <v>977</v>
      </c>
      <c r="B36" s="108"/>
      <c r="C36" s="108"/>
      <c r="D36" s="108"/>
      <c r="E36" s="108"/>
      <c r="F36" s="108"/>
      <c r="G36" s="109">
        <v>2.4E-2</v>
      </c>
      <c r="H36" s="109">
        <v>0.54600000000000004</v>
      </c>
      <c r="I36" s="115"/>
      <c r="J36" s="106" t="s">
        <v>977</v>
      </c>
      <c r="K36" s="108"/>
      <c r="L36" s="108"/>
      <c r="M36" s="108"/>
      <c r="N36" s="108"/>
      <c r="O36" s="108"/>
      <c r="P36" s="109">
        <v>0</v>
      </c>
      <c r="Q36" s="109">
        <v>0.64400000000000002</v>
      </c>
      <c r="S36" s="104"/>
      <c r="T36" s="105"/>
      <c r="U36" s="105"/>
      <c r="V36" s="105"/>
      <c r="W36" s="105"/>
      <c r="X36" s="105"/>
      <c r="Y36" s="115"/>
      <c r="Z36" s="115"/>
    </row>
    <row r="37" spans="1:26" x14ac:dyDescent="0.25">
      <c r="A37" s="106" t="s">
        <v>978</v>
      </c>
      <c r="B37" s="108"/>
      <c r="C37" s="108"/>
      <c r="D37" s="108"/>
      <c r="E37" s="108"/>
      <c r="F37" s="108"/>
      <c r="G37" s="108"/>
      <c r="H37" s="109">
        <v>0.98199999999999998</v>
      </c>
      <c r="I37" s="115"/>
      <c r="J37" s="106" t="s">
        <v>978</v>
      </c>
      <c r="K37" s="108"/>
      <c r="L37" s="108"/>
      <c r="M37" s="108"/>
      <c r="N37" s="108"/>
      <c r="O37" s="108"/>
      <c r="P37" s="108"/>
      <c r="Q37" s="109">
        <v>1</v>
      </c>
      <c r="S37" s="104"/>
      <c r="T37" s="105"/>
      <c r="U37" s="105"/>
      <c r="V37" s="105"/>
      <c r="W37" s="105"/>
      <c r="X37" s="105"/>
      <c r="Y37" s="105"/>
      <c r="Z37" s="115"/>
    </row>
    <row r="38" spans="1:26" x14ac:dyDescent="0.25">
      <c r="A38" s="106" t="s">
        <v>979</v>
      </c>
      <c r="B38" s="108"/>
      <c r="C38" s="108"/>
      <c r="D38" s="108"/>
      <c r="E38" s="108"/>
      <c r="F38" s="108"/>
      <c r="G38" s="108"/>
      <c r="H38" s="108"/>
      <c r="I38" s="105"/>
      <c r="J38" s="106" t="s">
        <v>979</v>
      </c>
      <c r="K38" s="108"/>
      <c r="L38" s="108"/>
      <c r="M38" s="108"/>
      <c r="N38" s="108"/>
      <c r="O38" s="108"/>
      <c r="P38" s="108"/>
      <c r="Q38" s="108"/>
      <c r="S38" s="104"/>
      <c r="T38" s="105"/>
      <c r="U38" s="105"/>
      <c r="V38" s="105"/>
      <c r="W38" s="105"/>
      <c r="X38" s="105"/>
      <c r="Y38" s="105"/>
      <c r="Z38" s="105"/>
    </row>
    <row r="39" spans="1:26" s="96" customFormat="1" x14ac:dyDescent="0.25">
      <c r="A39" s="104"/>
      <c r="B39" s="105"/>
      <c r="C39" s="105"/>
      <c r="D39" s="105"/>
      <c r="E39" s="105"/>
      <c r="F39" s="105"/>
      <c r="G39" s="105"/>
      <c r="H39" s="105"/>
      <c r="I39" s="105"/>
      <c r="J39" s="104"/>
      <c r="K39" s="105"/>
      <c r="L39" s="105"/>
      <c r="M39" s="105"/>
      <c r="N39" s="105"/>
      <c r="O39" s="105"/>
      <c r="P39" s="105"/>
      <c r="Q39" s="105"/>
      <c r="S39" s="4"/>
      <c r="T39" s="4"/>
      <c r="U39" s="4"/>
      <c r="V39" s="4"/>
      <c r="W39" s="4"/>
      <c r="X39" s="4"/>
      <c r="Y39" s="4"/>
      <c r="Z39" s="4"/>
    </row>
    <row r="40" spans="1:26" x14ac:dyDescent="0.25">
      <c r="A40" s="104" t="s">
        <v>1008</v>
      </c>
      <c r="B40" s="105"/>
      <c r="C40" s="105"/>
      <c r="D40" s="105"/>
      <c r="E40" s="105"/>
      <c r="F40" s="105"/>
      <c r="G40" s="105"/>
      <c r="H40" s="105"/>
      <c r="I40" s="105"/>
      <c r="J40" s="103" t="s">
        <v>1009</v>
      </c>
      <c r="K40" s="103"/>
      <c r="L40" s="103"/>
      <c r="M40" s="103"/>
      <c r="N40" s="103"/>
      <c r="O40" s="103"/>
      <c r="P40" s="103"/>
      <c r="Q40" s="103"/>
    </row>
    <row r="41" spans="1:26" x14ac:dyDescent="0.25">
      <c r="A41" s="106"/>
      <c r="B41" s="107" t="s">
        <v>973</v>
      </c>
      <c r="C41" s="107" t="s">
        <v>974</v>
      </c>
      <c r="D41" s="107" t="s">
        <v>975</v>
      </c>
      <c r="E41" s="107" t="s">
        <v>976</v>
      </c>
      <c r="F41" s="107" t="s">
        <v>977</v>
      </c>
      <c r="G41" s="107" t="s">
        <v>978</v>
      </c>
      <c r="H41" s="107" t="s">
        <v>979</v>
      </c>
      <c r="I41" s="113"/>
      <c r="J41" s="106"/>
      <c r="K41" s="107" t="s">
        <v>973</v>
      </c>
      <c r="L41" s="107" t="s">
        <v>974</v>
      </c>
      <c r="M41" s="107" t="s">
        <v>975</v>
      </c>
      <c r="N41" s="107" t="s">
        <v>976</v>
      </c>
      <c r="O41" s="107" t="s">
        <v>977</v>
      </c>
      <c r="P41" s="107" t="s">
        <v>978</v>
      </c>
      <c r="Q41" s="107" t="s">
        <v>979</v>
      </c>
    </row>
    <row r="42" spans="1:26" x14ac:dyDescent="0.25">
      <c r="A42" s="106" t="s">
        <v>973</v>
      </c>
      <c r="B42" s="108"/>
      <c r="C42" s="109">
        <v>0.98599999999999999</v>
      </c>
      <c r="D42" s="109">
        <v>1</v>
      </c>
      <c r="E42" s="109">
        <v>0.92600000000000005</v>
      </c>
      <c r="F42" s="109">
        <v>0.877</v>
      </c>
      <c r="G42" s="110">
        <v>0.999</v>
      </c>
      <c r="H42" s="109">
        <v>0.998</v>
      </c>
      <c r="I42" s="115"/>
      <c r="J42" s="106" t="s">
        <v>973</v>
      </c>
      <c r="K42" s="108"/>
      <c r="L42" s="109">
        <v>2E-3</v>
      </c>
      <c r="M42" s="109">
        <v>0.56599999999999995</v>
      </c>
      <c r="N42" s="109">
        <v>0.51100000000000001</v>
      </c>
      <c r="O42" s="109">
        <v>0.996</v>
      </c>
      <c r="P42" s="110">
        <v>0.156</v>
      </c>
      <c r="Q42" s="109">
        <v>0.997</v>
      </c>
    </row>
    <row r="43" spans="1:26" x14ac:dyDescent="0.25">
      <c r="A43" s="106" t="s">
        <v>974</v>
      </c>
      <c r="B43" s="108"/>
      <c r="C43" s="108"/>
      <c r="D43" s="110">
        <v>0.999</v>
      </c>
      <c r="E43" s="110">
        <v>2.7E-2</v>
      </c>
      <c r="F43" s="110">
        <v>0</v>
      </c>
      <c r="G43" s="110">
        <v>1</v>
      </c>
      <c r="H43" s="110">
        <v>0.92</v>
      </c>
      <c r="I43" s="115"/>
      <c r="J43" s="106" t="s">
        <v>974</v>
      </c>
      <c r="K43" s="108"/>
      <c r="L43" s="108"/>
      <c r="M43" s="110">
        <v>0.999</v>
      </c>
      <c r="N43" s="110">
        <v>0.998</v>
      </c>
      <c r="O43" s="110">
        <v>1</v>
      </c>
      <c r="P43" s="110">
        <v>0.96499999999999997</v>
      </c>
      <c r="Q43" s="110">
        <v>1</v>
      </c>
    </row>
    <row r="44" spans="1:26" x14ac:dyDescent="0.25">
      <c r="A44" s="106" t="s">
        <v>975</v>
      </c>
      <c r="B44" s="108"/>
      <c r="C44" s="108"/>
      <c r="D44" s="108"/>
      <c r="E44" s="109">
        <v>0</v>
      </c>
      <c r="F44" s="109">
        <v>0</v>
      </c>
      <c r="G44" s="109">
        <v>0.32400000000000001</v>
      </c>
      <c r="H44" s="110">
        <v>0.01</v>
      </c>
      <c r="I44" s="115"/>
      <c r="J44" s="106" t="s">
        <v>975</v>
      </c>
      <c r="K44" s="108"/>
      <c r="L44" s="108"/>
      <c r="M44" s="108"/>
      <c r="N44" s="109">
        <v>0.42199999999999999</v>
      </c>
      <c r="O44" s="109">
        <v>1</v>
      </c>
      <c r="P44" s="109">
        <v>0.13600000000000001</v>
      </c>
      <c r="Q44" s="109">
        <v>1</v>
      </c>
    </row>
    <row r="45" spans="1:26" x14ac:dyDescent="0.25">
      <c r="A45" s="106" t="s">
        <v>976</v>
      </c>
      <c r="B45" s="108"/>
      <c r="C45" s="108"/>
      <c r="D45" s="108"/>
      <c r="E45" s="108"/>
      <c r="F45" s="109">
        <v>0.42399999999999999</v>
      </c>
      <c r="G45" s="109">
        <v>1</v>
      </c>
      <c r="H45" s="109">
        <v>0.997</v>
      </c>
      <c r="I45" s="115"/>
      <c r="J45" s="106" t="s">
        <v>976</v>
      </c>
      <c r="K45" s="108"/>
      <c r="L45" s="108"/>
      <c r="M45" s="108"/>
      <c r="N45" s="108"/>
      <c r="O45" s="109">
        <v>1</v>
      </c>
      <c r="P45" s="109">
        <v>0.15</v>
      </c>
      <c r="Q45" s="109">
        <v>1</v>
      </c>
    </row>
    <row r="46" spans="1:26" x14ac:dyDescent="0.25">
      <c r="A46" s="106" t="s">
        <v>977</v>
      </c>
      <c r="B46" s="108"/>
      <c r="C46" s="108"/>
      <c r="D46" s="108"/>
      <c r="E46" s="108"/>
      <c r="F46" s="108"/>
      <c r="G46" s="109">
        <v>1</v>
      </c>
      <c r="H46" s="109">
        <v>1</v>
      </c>
      <c r="I46" s="115"/>
      <c r="J46" s="106" t="s">
        <v>977</v>
      </c>
      <c r="K46" s="108"/>
      <c r="L46" s="108"/>
      <c r="M46" s="108"/>
      <c r="N46" s="108"/>
      <c r="O46" s="108"/>
      <c r="P46" s="109">
        <v>4.2000000000000003E-2</v>
      </c>
      <c r="Q46" s="109">
        <v>0.64900000000000002</v>
      </c>
    </row>
    <row r="47" spans="1:26" x14ac:dyDescent="0.25">
      <c r="A47" s="106" t="s">
        <v>978</v>
      </c>
      <c r="B47" s="108"/>
      <c r="C47" s="108"/>
      <c r="D47" s="108"/>
      <c r="E47" s="108"/>
      <c r="F47" s="108"/>
      <c r="G47" s="108"/>
      <c r="H47" s="109">
        <v>6.0000000000000001E-3</v>
      </c>
      <c r="I47" s="115"/>
      <c r="J47" s="106" t="s">
        <v>978</v>
      </c>
      <c r="K47" s="108"/>
      <c r="L47" s="108"/>
      <c r="M47" s="108"/>
      <c r="N47" s="108"/>
      <c r="O47" s="108"/>
      <c r="P47" s="108"/>
      <c r="Q47" s="109">
        <v>0.96599999999999997</v>
      </c>
    </row>
    <row r="48" spans="1:26" x14ac:dyDescent="0.25">
      <c r="A48" s="106" t="s">
        <v>979</v>
      </c>
      <c r="B48" s="108"/>
      <c r="C48" s="108"/>
      <c r="D48" s="108"/>
      <c r="E48" s="108"/>
      <c r="F48" s="108"/>
      <c r="G48" s="108"/>
      <c r="H48" s="108"/>
      <c r="I48" s="105"/>
      <c r="J48" s="106" t="s">
        <v>979</v>
      </c>
      <c r="K48" s="108"/>
      <c r="L48" s="108"/>
      <c r="M48" s="108"/>
      <c r="N48" s="108"/>
      <c r="O48" s="108"/>
      <c r="P48" s="108"/>
      <c r="Q48" s="108"/>
    </row>
    <row r="49" spans="1:17" s="96" customFormat="1" x14ac:dyDescent="0.25">
      <c r="A49" s="104"/>
      <c r="B49" s="105"/>
      <c r="C49" s="105"/>
      <c r="D49" s="105"/>
      <c r="E49" s="105"/>
      <c r="F49" s="105"/>
      <c r="G49" s="105"/>
      <c r="H49" s="105"/>
      <c r="I49" s="105"/>
      <c r="J49" s="104"/>
      <c r="K49" s="105"/>
      <c r="L49" s="105"/>
      <c r="M49" s="105"/>
      <c r="N49" s="105"/>
      <c r="O49" s="105"/>
      <c r="P49" s="105"/>
      <c r="Q49" s="105"/>
    </row>
    <row r="50" spans="1:17" x14ac:dyDescent="0.25">
      <c r="A50" s="103" t="s">
        <v>1010</v>
      </c>
      <c r="B50" s="4"/>
      <c r="C50" s="4"/>
      <c r="D50" s="4"/>
      <c r="E50" s="4"/>
      <c r="F50" s="4"/>
      <c r="G50" s="4"/>
      <c r="H50" s="4"/>
      <c r="J50" s="104" t="s">
        <v>1011</v>
      </c>
      <c r="K50" s="105"/>
      <c r="L50" s="105"/>
      <c r="M50" s="105"/>
      <c r="N50" s="105"/>
      <c r="O50" s="105"/>
      <c r="P50" s="105"/>
      <c r="Q50" s="105"/>
    </row>
    <row r="51" spans="1:17" x14ac:dyDescent="0.25">
      <c r="A51" s="106"/>
      <c r="B51" s="107" t="s">
        <v>973</v>
      </c>
      <c r="C51" s="107" t="s">
        <v>974</v>
      </c>
      <c r="D51" s="107" t="s">
        <v>975</v>
      </c>
      <c r="E51" s="107" t="s">
        <v>976</v>
      </c>
      <c r="F51" s="107" t="s">
        <v>977</v>
      </c>
      <c r="G51" s="107" t="s">
        <v>978</v>
      </c>
      <c r="H51" s="107" t="s">
        <v>979</v>
      </c>
      <c r="I51" s="113"/>
      <c r="J51" s="106"/>
      <c r="K51" s="107" t="s">
        <v>973</v>
      </c>
      <c r="L51" s="107" t="s">
        <v>974</v>
      </c>
      <c r="M51" s="107" t="s">
        <v>975</v>
      </c>
      <c r="N51" s="107" t="s">
        <v>976</v>
      </c>
      <c r="O51" s="107" t="s">
        <v>977</v>
      </c>
      <c r="P51" s="107" t="s">
        <v>978</v>
      </c>
      <c r="Q51" s="107" t="s">
        <v>979</v>
      </c>
    </row>
    <row r="52" spans="1:17" x14ac:dyDescent="0.25">
      <c r="A52" s="106" t="s">
        <v>973</v>
      </c>
      <c r="B52" s="108"/>
      <c r="C52" s="109">
        <v>0.40600000000000003</v>
      </c>
      <c r="D52" s="109">
        <v>0.91300000000000003</v>
      </c>
      <c r="E52" s="109">
        <v>0.7</v>
      </c>
      <c r="F52" s="109">
        <v>0.98499999999999999</v>
      </c>
      <c r="G52" s="110">
        <v>4.8000000000000001E-2</v>
      </c>
      <c r="H52" s="109">
        <v>0.995</v>
      </c>
      <c r="I52" s="115"/>
      <c r="J52" s="106" t="s">
        <v>973</v>
      </c>
      <c r="K52" s="108"/>
      <c r="L52" s="109">
        <v>0.55500000000000005</v>
      </c>
      <c r="M52" s="109">
        <v>0.74</v>
      </c>
      <c r="N52" s="109">
        <v>0.67900000000000005</v>
      </c>
      <c r="O52" s="109">
        <v>0.70399999999999996</v>
      </c>
      <c r="P52" s="110">
        <v>1</v>
      </c>
      <c r="Q52" s="109">
        <v>0.70899999999999996</v>
      </c>
    </row>
    <row r="53" spans="1:17" x14ac:dyDescent="0.25">
      <c r="A53" s="106" t="s">
        <v>974</v>
      </c>
      <c r="B53" s="108"/>
      <c r="C53" s="108"/>
      <c r="D53" s="110">
        <v>0.82899999999999996</v>
      </c>
      <c r="E53" s="110">
        <v>0.69499999999999995</v>
      </c>
      <c r="F53" s="110">
        <v>0.95099999999999996</v>
      </c>
      <c r="G53" s="110">
        <v>0.10299999999999999</v>
      </c>
      <c r="H53" s="110">
        <v>0.98399999999999999</v>
      </c>
      <c r="I53" s="115"/>
      <c r="J53" s="106" t="s">
        <v>974</v>
      </c>
      <c r="K53" s="108"/>
      <c r="L53" s="108"/>
      <c r="M53" s="110">
        <v>0.70399999999999996</v>
      </c>
      <c r="N53" s="110">
        <v>0.64800000000000002</v>
      </c>
      <c r="O53" s="110">
        <v>0.748</v>
      </c>
      <c r="P53" s="110">
        <v>1</v>
      </c>
      <c r="Q53" s="110">
        <v>0.77300000000000002</v>
      </c>
    </row>
    <row r="54" spans="1:17" x14ac:dyDescent="0.25">
      <c r="A54" s="106" t="s">
        <v>975</v>
      </c>
      <c r="B54" s="108"/>
      <c r="C54" s="108"/>
      <c r="D54" s="108"/>
      <c r="E54" s="109">
        <v>0.11799999999999999</v>
      </c>
      <c r="F54" s="109">
        <v>0.93600000000000005</v>
      </c>
      <c r="G54" s="109">
        <v>8.9999999999999993E-3</v>
      </c>
      <c r="H54" s="110">
        <v>0.99299999999999999</v>
      </c>
      <c r="I54" s="115"/>
      <c r="J54" s="106" t="s">
        <v>975</v>
      </c>
      <c r="K54" s="108"/>
      <c r="L54" s="108"/>
      <c r="M54" s="108"/>
      <c r="N54" s="109">
        <v>0.42299999999999999</v>
      </c>
      <c r="O54" s="109">
        <v>0.44800000000000001</v>
      </c>
      <c r="P54" s="109">
        <v>1</v>
      </c>
      <c r="Q54" s="109">
        <v>0.47799999999999998</v>
      </c>
    </row>
    <row r="55" spans="1:17" x14ac:dyDescent="0.25">
      <c r="A55" s="106" t="s">
        <v>976</v>
      </c>
      <c r="B55" s="108"/>
      <c r="C55" s="108"/>
      <c r="D55" s="108"/>
      <c r="E55" s="108"/>
      <c r="F55" s="109">
        <v>1</v>
      </c>
      <c r="G55" s="109">
        <v>2.3E-2</v>
      </c>
      <c r="H55" s="109">
        <v>1</v>
      </c>
      <c r="I55" s="115"/>
      <c r="J55" s="106" t="s">
        <v>976</v>
      </c>
      <c r="K55" s="108"/>
      <c r="L55" s="108"/>
      <c r="M55" s="108"/>
      <c r="N55" s="108"/>
      <c r="O55" s="109">
        <v>0.56200000000000006</v>
      </c>
      <c r="P55" s="109">
        <v>1</v>
      </c>
      <c r="Q55" s="109">
        <v>0.59299999999999997</v>
      </c>
    </row>
    <row r="56" spans="1:17" x14ac:dyDescent="0.25">
      <c r="A56" s="106" t="s">
        <v>977</v>
      </c>
      <c r="B56" s="108"/>
      <c r="C56" s="108"/>
      <c r="D56" s="108"/>
      <c r="E56" s="108"/>
      <c r="F56" s="108"/>
      <c r="G56" s="109">
        <v>1E-3</v>
      </c>
      <c r="H56" s="109">
        <v>0.97799999999999998</v>
      </c>
      <c r="I56" s="115"/>
      <c r="J56" s="106" t="s">
        <v>977</v>
      </c>
      <c r="K56" s="108"/>
      <c r="L56" s="108"/>
      <c r="M56" s="108"/>
      <c r="N56" s="108"/>
      <c r="O56" s="108"/>
      <c r="P56" s="109">
        <v>1</v>
      </c>
      <c r="Q56" s="109">
        <v>0.58699999999999997</v>
      </c>
    </row>
    <row r="57" spans="1:17" x14ac:dyDescent="0.25">
      <c r="A57" s="106" t="s">
        <v>978</v>
      </c>
      <c r="B57" s="108"/>
      <c r="C57" s="108"/>
      <c r="D57" s="108"/>
      <c r="E57" s="108"/>
      <c r="F57" s="108"/>
      <c r="G57" s="108"/>
      <c r="H57" s="109">
        <v>1</v>
      </c>
      <c r="I57" s="115"/>
      <c r="J57" s="106" t="s">
        <v>978</v>
      </c>
      <c r="K57" s="108"/>
      <c r="L57" s="108"/>
      <c r="M57" s="108"/>
      <c r="N57" s="108"/>
      <c r="O57" s="108"/>
      <c r="P57" s="108"/>
      <c r="Q57" s="109">
        <v>0</v>
      </c>
    </row>
    <row r="58" spans="1:17" x14ac:dyDescent="0.25">
      <c r="A58" s="106" t="s">
        <v>979</v>
      </c>
      <c r="B58" s="108"/>
      <c r="C58" s="108"/>
      <c r="D58" s="108"/>
      <c r="E58" s="108"/>
      <c r="F58" s="108"/>
      <c r="G58" s="108"/>
      <c r="H58" s="108"/>
      <c r="I58" s="105"/>
      <c r="J58" s="106" t="s">
        <v>979</v>
      </c>
      <c r="K58" s="108"/>
      <c r="L58" s="108"/>
      <c r="M58" s="108"/>
      <c r="N58" s="108"/>
      <c r="O58" s="108"/>
      <c r="P58" s="108"/>
      <c r="Q58" s="108"/>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4:AK666"/>
  <sheetViews>
    <sheetView zoomScale="85" zoomScaleNormal="85" workbookViewId="0">
      <selection activeCell="B7" sqref="B7"/>
    </sheetView>
  </sheetViews>
  <sheetFormatPr defaultRowHeight="15" x14ac:dyDescent="0.25"/>
  <cols>
    <col min="1" max="1" width="18.28515625" style="3" bestFit="1" customWidth="1"/>
    <col min="2" max="2" width="21.140625" style="4" bestFit="1" customWidth="1"/>
    <col min="3" max="3" width="64.7109375" style="4" bestFit="1" customWidth="1"/>
    <col min="4" max="4" width="32.42578125" style="4" bestFit="1" customWidth="1"/>
    <col min="5" max="5" width="58" style="4" bestFit="1" customWidth="1"/>
    <col min="6" max="6" width="27.5703125" style="4" customWidth="1"/>
    <col min="7" max="7" width="18.85546875" style="4" customWidth="1"/>
    <col min="8" max="9" width="13.5703125" style="4" bestFit="1" customWidth="1"/>
    <col min="10" max="10" width="14.5703125" style="4" bestFit="1" customWidth="1"/>
    <col min="11" max="11" width="20.7109375" style="4" bestFit="1" customWidth="1"/>
    <col min="12" max="14" width="13.5703125" style="4" bestFit="1" customWidth="1"/>
    <col min="15" max="15" width="23.85546875" style="4" bestFit="1" customWidth="1"/>
    <col min="16" max="17" width="13.5703125" style="4" bestFit="1" customWidth="1"/>
    <col min="18" max="18" width="14.5703125" style="4" bestFit="1" customWidth="1"/>
    <col min="19" max="19" width="23.85546875" style="4" bestFit="1" customWidth="1"/>
    <col min="20" max="21" width="13.5703125" style="4" bestFit="1" customWidth="1"/>
    <col min="22" max="22" width="14.5703125" style="4" bestFit="1" customWidth="1"/>
    <col min="23" max="23" width="23.85546875" style="4" bestFit="1" customWidth="1"/>
    <col min="24" max="24" width="13.5703125" style="4" bestFit="1" customWidth="1"/>
    <col min="25" max="25" width="12.42578125" style="4" bestFit="1" customWidth="1"/>
    <col min="26" max="26" width="13.5703125" style="4" bestFit="1" customWidth="1"/>
    <col min="27" max="27" width="22.85546875" style="4" bestFit="1" customWidth="1"/>
    <col min="28" max="30" width="12.42578125" style="4" bestFit="1" customWidth="1"/>
    <col min="31" max="31" width="21.85546875" style="4" bestFit="1" customWidth="1"/>
    <col min="32" max="34" width="12.42578125" style="4" bestFit="1" customWidth="1"/>
    <col min="35" max="35" width="20.7109375" style="4" bestFit="1" customWidth="1"/>
    <col min="36" max="36" width="63.28515625" style="4" customWidth="1"/>
    <col min="37" max="16384" width="9.140625" style="4"/>
  </cols>
  <sheetData>
    <row r="4" spans="1:36" customFormat="1" x14ac:dyDescent="0.25">
      <c r="A4" s="61"/>
      <c r="B4" s="62"/>
      <c r="C4" s="62" t="s">
        <v>374</v>
      </c>
      <c r="D4" s="62" t="s">
        <v>374</v>
      </c>
      <c r="E4" s="62" t="s">
        <v>374</v>
      </c>
      <c r="F4" s="62" t="s">
        <v>374</v>
      </c>
      <c r="G4" s="62"/>
      <c r="H4" s="128" t="s">
        <v>973</v>
      </c>
      <c r="I4" s="129"/>
      <c r="J4" s="129"/>
      <c r="K4" s="130"/>
      <c r="L4" s="131" t="s">
        <v>974</v>
      </c>
      <c r="M4" s="132"/>
      <c r="N4" s="132"/>
      <c r="O4" s="133"/>
      <c r="P4" s="128" t="s">
        <v>975</v>
      </c>
      <c r="Q4" s="129"/>
      <c r="R4" s="129"/>
      <c r="S4" s="130"/>
      <c r="T4" s="131" t="s">
        <v>976</v>
      </c>
      <c r="U4" s="132"/>
      <c r="V4" s="132"/>
      <c r="W4" s="133"/>
      <c r="X4" s="128" t="s">
        <v>977</v>
      </c>
      <c r="Y4" s="129"/>
      <c r="Z4" s="129"/>
      <c r="AA4" s="130"/>
      <c r="AB4" s="131" t="s">
        <v>978</v>
      </c>
      <c r="AC4" s="132"/>
      <c r="AD4" s="132"/>
      <c r="AE4" s="133"/>
      <c r="AF4" s="128" t="s">
        <v>979</v>
      </c>
      <c r="AG4" s="129"/>
      <c r="AH4" s="129"/>
      <c r="AI4" s="130"/>
      <c r="AJ4" s="63" t="s">
        <v>374</v>
      </c>
    </row>
    <row r="5" spans="1:36" customFormat="1" x14ac:dyDescent="0.25">
      <c r="A5" s="61" t="s">
        <v>1021</v>
      </c>
      <c r="B5" s="62" t="s">
        <v>204</v>
      </c>
      <c r="C5" s="62" t="s">
        <v>205</v>
      </c>
      <c r="D5" s="62" t="s">
        <v>206</v>
      </c>
      <c r="E5" s="62" t="s">
        <v>207</v>
      </c>
      <c r="F5" s="62" t="s">
        <v>40</v>
      </c>
      <c r="G5" s="62" t="s">
        <v>375</v>
      </c>
      <c r="H5" s="64" t="s">
        <v>948</v>
      </c>
      <c r="I5" s="64" t="s">
        <v>377</v>
      </c>
      <c r="J5" s="64" t="s">
        <v>378</v>
      </c>
      <c r="K5" s="64" t="s">
        <v>379</v>
      </c>
      <c r="L5" s="65" t="s">
        <v>948</v>
      </c>
      <c r="M5" s="65" t="s">
        <v>377</v>
      </c>
      <c r="N5" s="65" t="s">
        <v>378</v>
      </c>
      <c r="O5" s="65" t="s">
        <v>379</v>
      </c>
      <c r="P5" s="64" t="s">
        <v>948</v>
      </c>
      <c r="Q5" s="64" t="s">
        <v>377</v>
      </c>
      <c r="R5" s="64" t="s">
        <v>378</v>
      </c>
      <c r="S5" s="64" t="s">
        <v>379</v>
      </c>
      <c r="T5" s="65" t="s">
        <v>948</v>
      </c>
      <c r="U5" s="65" t="s">
        <v>377</v>
      </c>
      <c r="V5" s="65" t="s">
        <v>378</v>
      </c>
      <c r="W5" s="65" t="s">
        <v>379</v>
      </c>
      <c r="X5" s="64" t="s">
        <v>376</v>
      </c>
      <c r="Y5" s="64" t="s">
        <v>377</v>
      </c>
      <c r="Z5" s="64" t="s">
        <v>378</v>
      </c>
      <c r="AA5" s="64" t="s">
        <v>379</v>
      </c>
      <c r="AB5" s="65" t="s">
        <v>376</v>
      </c>
      <c r="AC5" s="65" t="s">
        <v>377</v>
      </c>
      <c r="AD5" s="65" t="s">
        <v>378</v>
      </c>
      <c r="AE5" s="65" t="s">
        <v>379</v>
      </c>
      <c r="AF5" s="64" t="s">
        <v>376</v>
      </c>
      <c r="AG5" s="64" t="s">
        <v>377</v>
      </c>
      <c r="AH5" s="64" t="s">
        <v>378</v>
      </c>
      <c r="AI5" s="64" t="s">
        <v>379</v>
      </c>
      <c r="AJ5" s="75" t="s">
        <v>380</v>
      </c>
    </row>
    <row r="6" spans="1:36" customFormat="1" x14ac:dyDescent="0.25">
      <c r="A6" s="66" t="s">
        <v>381</v>
      </c>
      <c r="B6" s="67"/>
      <c r="C6" s="67"/>
      <c r="D6" s="67"/>
      <c r="E6" s="67"/>
      <c r="F6" s="67"/>
      <c r="G6" s="67"/>
      <c r="H6" s="67"/>
      <c r="I6" s="67"/>
      <c r="J6" s="67"/>
      <c r="K6" s="67"/>
      <c r="L6" s="67"/>
      <c r="M6" s="67"/>
      <c r="N6" s="67"/>
      <c r="O6" s="67"/>
      <c r="P6" s="67"/>
      <c r="Q6" s="67"/>
      <c r="R6" s="67"/>
      <c r="S6" s="67"/>
      <c r="T6" s="67"/>
      <c r="U6" s="67"/>
      <c r="V6" s="67"/>
      <c r="W6" s="67"/>
      <c r="X6" s="67"/>
      <c r="Y6" s="67"/>
      <c r="Z6" s="67"/>
      <c r="AA6" s="67"/>
      <c r="AB6" s="67"/>
      <c r="AC6" s="67"/>
      <c r="AD6" s="67"/>
      <c r="AE6" s="67"/>
      <c r="AF6" s="67"/>
      <c r="AG6" s="67"/>
      <c r="AH6" s="67"/>
      <c r="AI6" s="67"/>
      <c r="AJ6" s="67"/>
    </row>
    <row r="7" spans="1:36" customFormat="1" x14ac:dyDescent="0.25">
      <c r="A7" s="68">
        <v>1</v>
      </c>
      <c r="B7" s="69" t="s">
        <v>209</v>
      </c>
      <c r="C7" s="69" t="s">
        <v>209</v>
      </c>
      <c r="D7" s="69" t="s">
        <v>218</v>
      </c>
      <c r="E7" s="69" t="s">
        <v>219</v>
      </c>
      <c r="F7" s="69" t="s">
        <v>382</v>
      </c>
      <c r="G7" s="69" t="s">
        <v>949</v>
      </c>
      <c r="H7" s="87">
        <v>18.8</v>
      </c>
      <c r="I7" s="87"/>
      <c r="J7" s="87"/>
      <c r="K7" s="87">
        <v>3.8809</v>
      </c>
      <c r="L7" s="86">
        <v>15.3</v>
      </c>
      <c r="M7" s="86"/>
      <c r="N7" s="86"/>
      <c r="O7" s="86">
        <v>0.79210000000000003</v>
      </c>
      <c r="P7" s="87">
        <v>18.8</v>
      </c>
      <c r="Q7" s="87"/>
      <c r="R7" s="87"/>
      <c r="S7" s="87">
        <v>3.8809</v>
      </c>
      <c r="T7" s="88">
        <v>18.8</v>
      </c>
      <c r="U7" s="88"/>
      <c r="V7" s="88"/>
      <c r="W7" s="88">
        <v>3.8809</v>
      </c>
      <c r="X7" s="87">
        <v>10.1</v>
      </c>
      <c r="Y7" s="87"/>
      <c r="Z7" s="87"/>
      <c r="AA7" s="87">
        <v>7.5625</v>
      </c>
      <c r="AB7" s="88">
        <v>18.8</v>
      </c>
      <c r="AC7" s="88"/>
      <c r="AD7" s="88"/>
      <c r="AE7" s="88">
        <v>6.25E-2</v>
      </c>
      <c r="AF7" s="87">
        <v>0</v>
      </c>
      <c r="AG7" s="87"/>
      <c r="AH7" s="87"/>
      <c r="AI7" s="87">
        <v>0</v>
      </c>
      <c r="AJ7" s="72" t="s">
        <v>996</v>
      </c>
    </row>
    <row r="8" spans="1:36" customFormat="1" x14ac:dyDescent="0.25">
      <c r="A8" s="68">
        <v>2</v>
      </c>
      <c r="B8" s="69" t="s">
        <v>209</v>
      </c>
      <c r="C8" s="69" t="s">
        <v>209</v>
      </c>
      <c r="D8" s="69" t="s">
        <v>216</v>
      </c>
      <c r="E8" s="69" t="s">
        <v>217</v>
      </c>
      <c r="F8" s="69" t="s">
        <v>53</v>
      </c>
      <c r="G8" s="69" t="s">
        <v>949</v>
      </c>
      <c r="H8" s="87">
        <v>40.299999999999997</v>
      </c>
      <c r="I8" s="87"/>
      <c r="J8" s="87"/>
      <c r="K8" s="87">
        <v>16.240900000000003</v>
      </c>
      <c r="L8" s="86">
        <v>39.1</v>
      </c>
      <c r="M8" s="86"/>
      <c r="N8" s="86"/>
      <c r="O8" s="86">
        <v>52.272900000000007</v>
      </c>
      <c r="P8" s="87">
        <v>40.299999999999997</v>
      </c>
      <c r="Q8" s="87"/>
      <c r="R8" s="87"/>
      <c r="S8" s="87">
        <v>16.240900000000003</v>
      </c>
      <c r="T8" s="88">
        <v>40.299999999999997</v>
      </c>
      <c r="U8" s="88"/>
      <c r="V8" s="88"/>
      <c r="W8" s="88">
        <v>16.240900000000003</v>
      </c>
      <c r="X8" s="87">
        <v>39</v>
      </c>
      <c r="Y8" s="87"/>
      <c r="Z8" s="87"/>
      <c r="AA8" s="87">
        <v>50.694400000000002</v>
      </c>
      <c r="AB8" s="88">
        <v>35</v>
      </c>
      <c r="AC8" s="88"/>
      <c r="AD8" s="88"/>
      <c r="AE8" s="88">
        <v>4.5368999999999993</v>
      </c>
      <c r="AF8" s="87">
        <v>0</v>
      </c>
      <c r="AG8" s="87"/>
      <c r="AH8" s="87"/>
      <c r="AI8" s="87">
        <v>0</v>
      </c>
      <c r="AJ8" s="72" t="s">
        <v>996</v>
      </c>
    </row>
    <row r="9" spans="1:36" customFormat="1" x14ac:dyDescent="0.25">
      <c r="A9" s="68">
        <v>3</v>
      </c>
      <c r="B9" s="69" t="s">
        <v>209</v>
      </c>
      <c r="C9" s="69" t="s">
        <v>209</v>
      </c>
      <c r="D9" s="69" t="s">
        <v>210</v>
      </c>
      <c r="E9" s="69" t="s">
        <v>211</v>
      </c>
      <c r="F9" s="69" t="s">
        <v>53</v>
      </c>
      <c r="G9" s="69" t="s">
        <v>949</v>
      </c>
      <c r="H9" s="87">
        <v>4.3899999999999997</v>
      </c>
      <c r="I9" s="87"/>
      <c r="J9" s="87"/>
      <c r="K9" s="87">
        <v>2.7888999999999999</v>
      </c>
      <c r="L9" s="86">
        <v>4.2</v>
      </c>
      <c r="M9" s="86"/>
      <c r="N9" s="86"/>
      <c r="O9" s="86">
        <v>1.8225000000000002</v>
      </c>
      <c r="P9" s="87">
        <v>4.3899999999999997</v>
      </c>
      <c r="Q9" s="87"/>
      <c r="R9" s="87"/>
      <c r="S9" s="87">
        <v>2.7888999999999999</v>
      </c>
      <c r="T9" s="88">
        <v>4.3899999999999997</v>
      </c>
      <c r="U9" s="88"/>
      <c r="V9" s="88"/>
      <c r="W9" s="88">
        <v>2.7888999999999999</v>
      </c>
      <c r="X9" s="87">
        <v>9.1</v>
      </c>
      <c r="Y9" s="87"/>
      <c r="Z9" s="87"/>
      <c r="AA9" s="87">
        <v>2.5921000000000003</v>
      </c>
      <c r="AB9" s="88">
        <v>5</v>
      </c>
      <c r="AC9" s="88"/>
      <c r="AD9" s="88"/>
      <c r="AE9" s="88">
        <v>0.72249999999999992</v>
      </c>
      <c r="AF9" s="87">
        <v>0</v>
      </c>
      <c r="AG9" s="87"/>
      <c r="AH9" s="87"/>
      <c r="AI9" s="87">
        <v>0</v>
      </c>
      <c r="AJ9" s="72" t="s">
        <v>996</v>
      </c>
    </row>
    <row r="10" spans="1:36" customFormat="1" x14ac:dyDescent="0.25">
      <c r="A10" s="68">
        <v>4</v>
      </c>
      <c r="B10" s="69" t="s">
        <v>209</v>
      </c>
      <c r="C10" s="69" t="s">
        <v>209</v>
      </c>
      <c r="D10" s="69" t="s">
        <v>212</v>
      </c>
      <c r="E10" s="69" t="s">
        <v>213</v>
      </c>
      <c r="F10" s="69" t="s">
        <v>53</v>
      </c>
      <c r="G10" s="69" t="s">
        <v>949</v>
      </c>
      <c r="H10" s="87">
        <v>2.4500000000000002</v>
      </c>
      <c r="I10" s="87"/>
      <c r="J10" s="87"/>
      <c r="K10" s="87">
        <v>0.39557810250000003</v>
      </c>
      <c r="L10" s="86">
        <v>1.4016</v>
      </c>
      <c r="M10" s="86"/>
      <c r="N10" s="86"/>
      <c r="O10" s="86">
        <v>0.47280751210000005</v>
      </c>
      <c r="P10" s="87">
        <v>2.4500000000000002</v>
      </c>
      <c r="Q10" s="87"/>
      <c r="R10" s="87"/>
      <c r="S10" s="87">
        <v>0.39557810250000003</v>
      </c>
      <c r="T10" s="88">
        <v>2.4500000000000002</v>
      </c>
      <c r="U10" s="88"/>
      <c r="V10" s="88"/>
      <c r="W10" s="88">
        <v>0.39557810250000003</v>
      </c>
      <c r="X10" s="87">
        <v>3.3</v>
      </c>
      <c r="Y10" s="87"/>
      <c r="Z10" s="87"/>
      <c r="AA10" s="87">
        <v>3.9534959556000007</v>
      </c>
      <c r="AB10" s="88">
        <v>1.1000000000000001</v>
      </c>
      <c r="AC10" s="88"/>
      <c r="AD10" s="88"/>
      <c r="AE10" s="88">
        <v>0.10555762331200005</v>
      </c>
      <c r="AF10" s="87">
        <v>13.489999999999998</v>
      </c>
      <c r="AG10" s="87"/>
      <c r="AH10" s="87"/>
      <c r="AI10" s="87">
        <v>7.5992170324884789</v>
      </c>
      <c r="AJ10" s="72" t="s">
        <v>996</v>
      </c>
    </row>
    <row r="11" spans="1:36" customFormat="1" x14ac:dyDescent="0.25">
      <c r="A11" s="68">
        <v>5</v>
      </c>
      <c r="B11" s="69" t="s">
        <v>209</v>
      </c>
      <c r="C11" s="69" t="s">
        <v>209</v>
      </c>
      <c r="D11" s="69" t="s">
        <v>214</v>
      </c>
      <c r="E11" s="69" t="s">
        <v>215</v>
      </c>
      <c r="F11" s="69" t="s">
        <v>53</v>
      </c>
      <c r="G11" s="69" t="s">
        <v>949</v>
      </c>
      <c r="H11" s="87">
        <v>0.26300000000000001</v>
      </c>
      <c r="I11" s="87"/>
      <c r="J11" s="87"/>
      <c r="K11" s="87">
        <v>5.8452732899999978E-2</v>
      </c>
      <c r="L11" s="86">
        <v>2.4967000000000001</v>
      </c>
      <c r="M11" s="86"/>
      <c r="N11" s="86"/>
      <c r="O11" s="86">
        <v>0.69177479289999999</v>
      </c>
      <c r="P11" s="87">
        <v>0.26300000000000001</v>
      </c>
      <c r="Q11" s="87"/>
      <c r="R11" s="87"/>
      <c r="S11" s="87">
        <v>5.8452732899999978E-2</v>
      </c>
      <c r="T11" s="88">
        <v>0.26300000000000001</v>
      </c>
      <c r="U11" s="88"/>
      <c r="V11" s="88"/>
      <c r="W11" s="88">
        <v>5.8452732899999978E-2</v>
      </c>
      <c r="X11" s="87">
        <v>5.7</v>
      </c>
      <c r="Y11" s="87"/>
      <c r="Z11" s="87"/>
      <c r="AA11" s="87">
        <v>1.1395562500000003E-2</v>
      </c>
      <c r="AB11" s="88">
        <v>1.6</v>
      </c>
      <c r="AC11" s="88"/>
      <c r="AD11" s="88"/>
      <c r="AE11" s="88">
        <v>9.5355225000000009E-3</v>
      </c>
      <c r="AF11" s="87">
        <v>0.10748888888888888</v>
      </c>
      <c r="AG11" s="87"/>
      <c r="AH11" s="87"/>
      <c r="AI11" s="87">
        <v>5.9423786111111113E-3</v>
      </c>
      <c r="AJ11" s="72" t="s">
        <v>996</v>
      </c>
    </row>
    <row r="12" spans="1:36" customFormat="1" x14ac:dyDescent="0.25">
      <c r="A12" s="68">
        <v>6</v>
      </c>
      <c r="B12" s="69" t="s">
        <v>209</v>
      </c>
      <c r="C12" s="69" t="s">
        <v>209</v>
      </c>
      <c r="D12" s="69" t="s">
        <v>383</v>
      </c>
      <c r="E12" s="69" t="s">
        <v>384</v>
      </c>
      <c r="F12" s="69" t="s">
        <v>53</v>
      </c>
      <c r="G12" s="69" t="s">
        <v>949</v>
      </c>
      <c r="H12" s="87">
        <v>4.0000000000000002E-4</v>
      </c>
      <c r="I12" s="87"/>
      <c r="J12" s="87"/>
      <c r="K12" s="87">
        <v>2.4999999999999999E-7</v>
      </c>
      <c r="L12" s="86">
        <v>3.5599999999999998E-5</v>
      </c>
      <c r="M12" s="86"/>
      <c r="N12" s="86"/>
      <c r="O12" s="86">
        <v>9.9999999999999986E-9</v>
      </c>
      <c r="P12" s="87">
        <v>4.0000000000000002E-4</v>
      </c>
      <c r="Q12" s="87"/>
      <c r="R12" s="87"/>
      <c r="S12" s="87">
        <v>2.4999999999999999E-7</v>
      </c>
      <c r="T12" s="88">
        <v>4.0000000000000002E-4</v>
      </c>
      <c r="U12" s="88"/>
      <c r="V12" s="88"/>
      <c r="W12" s="88">
        <v>2.4999999999999999E-7</v>
      </c>
      <c r="X12" s="87">
        <v>0</v>
      </c>
      <c r="Y12" s="87"/>
      <c r="Z12" s="87"/>
      <c r="AA12" s="87">
        <v>0</v>
      </c>
      <c r="AB12" s="88">
        <v>2.1000000000000001E-4</v>
      </c>
      <c r="AC12" s="88"/>
      <c r="AD12" s="88"/>
      <c r="AE12" s="88">
        <v>2.4999999999999999E-7</v>
      </c>
      <c r="AF12" s="87">
        <v>7.530310344827587E-4</v>
      </c>
      <c r="AG12" s="87"/>
      <c r="AH12" s="87"/>
      <c r="AI12" s="87">
        <v>0</v>
      </c>
      <c r="AJ12" s="72" t="s">
        <v>996</v>
      </c>
    </row>
    <row r="13" spans="1:36" customFormat="1" x14ac:dyDescent="0.25">
      <c r="A13" s="68">
        <v>7</v>
      </c>
      <c r="B13" s="69" t="s">
        <v>209</v>
      </c>
      <c r="C13" s="69" t="s">
        <v>209</v>
      </c>
      <c r="D13" s="69" t="s">
        <v>221</v>
      </c>
      <c r="E13" s="69" t="s">
        <v>222</v>
      </c>
      <c r="F13" s="69" t="s">
        <v>53</v>
      </c>
      <c r="G13" s="69" t="s">
        <v>949</v>
      </c>
      <c r="H13" s="87">
        <v>5.8999999999999998E-5</v>
      </c>
      <c r="I13" s="87"/>
      <c r="J13" s="87"/>
      <c r="K13" s="87">
        <v>1.3699999999999999E-8</v>
      </c>
      <c r="L13" s="86">
        <v>0</v>
      </c>
      <c r="M13" s="86"/>
      <c r="N13" s="86"/>
      <c r="O13" s="86">
        <v>0</v>
      </c>
      <c r="P13" s="87">
        <v>5.8999999999999998E-5</v>
      </c>
      <c r="Q13" s="87"/>
      <c r="R13" s="87"/>
      <c r="S13" s="87">
        <v>1.3699999999999999E-8</v>
      </c>
      <c r="T13" s="88">
        <v>5.8999999999999998E-5</v>
      </c>
      <c r="U13" s="88"/>
      <c r="V13" s="88"/>
      <c r="W13" s="88">
        <v>1.3699999999999999E-8</v>
      </c>
      <c r="X13" s="87">
        <v>5.0000000000000002E-5</v>
      </c>
      <c r="Y13" s="87"/>
      <c r="Z13" s="87"/>
      <c r="AA13" s="87">
        <v>3.2400000000000006E-8</v>
      </c>
      <c r="AB13" s="88">
        <v>2.0000000000000002E-5</v>
      </c>
      <c r="AC13" s="88"/>
      <c r="AD13" s="88"/>
      <c r="AE13" s="88">
        <v>0</v>
      </c>
      <c r="AF13" s="87">
        <v>0</v>
      </c>
      <c r="AG13" s="87"/>
      <c r="AH13" s="87"/>
      <c r="AI13" s="87">
        <v>0</v>
      </c>
      <c r="AJ13" s="72" t="s">
        <v>996</v>
      </c>
    </row>
    <row r="14" spans="1:36" customFormat="1" x14ac:dyDescent="0.25">
      <c r="A14" s="68">
        <v>8</v>
      </c>
      <c r="B14" s="69" t="s">
        <v>209</v>
      </c>
      <c r="C14" s="69" t="s">
        <v>209</v>
      </c>
      <c r="D14" s="69" t="s">
        <v>223</v>
      </c>
      <c r="E14" s="69" t="s">
        <v>224</v>
      </c>
      <c r="F14" s="69" t="s">
        <v>53</v>
      </c>
      <c r="G14" s="69" t="s">
        <v>949</v>
      </c>
      <c r="H14" s="87">
        <v>9.6000000000000002E-5</v>
      </c>
      <c r="I14" s="87"/>
      <c r="J14" s="87"/>
      <c r="K14" s="87">
        <v>1.2000000000000002E-8</v>
      </c>
      <c r="L14" s="86">
        <v>2.0599999999999999E-5</v>
      </c>
      <c r="M14" s="86"/>
      <c r="N14" s="86"/>
      <c r="O14" s="86">
        <v>0</v>
      </c>
      <c r="P14" s="87">
        <v>9.6000000000000002E-5</v>
      </c>
      <c r="Q14" s="87"/>
      <c r="R14" s="87"/>
      <c r="S14" s="87">
        <v>1.2000000000000002E-8</v>
      </c>
      <c r="T14" s="88">
        <v>9.6000000000000002E-5</v>
      </c>
      <c r="U14" s="88"/>
      <c r="V14" s="88"/>
      <c r="W14" s="88">
        <v>1.2000000000000002E-8</v>
      </c>
      <c r="X14" s="87">
        <v>5.1999999999999995E-4</v>
      </c>
      <c r="Y14" s="87"/>
      <c r="Z14" s="87"/>
      <c r="AA14" s="87">
        <v>1.9836745562130175E-9</v>
      </c>
      <c r="AB14" s="88">
        <v>5.5999999999999995E-4</v>
      </c>
      <c r="AC14" s="88"/>
      <c r="AD14" s="88"/>
      <c r="AE14" s="88">
        <v>1.0000000000000002E-10</v>
      </c>
      <c r="AF14" s="87">
        <v>2.6451290322580642E-3</v>
      </c>
      <c r="AG14" s="87"/>
      <c r="AH14" s="87"/>
      <c r="AI14" s="87">
        <v>5.3368056879957688E-6</v>
      </c>
      <c r="AJ14" s="72" t="s">
        <v>996</v>
      </c>
    </row>
    <row r="15" spans="1:36" customFormat="1" x14ac:dyDescent="0.25">
      <c r="A15" s="68">
        <v>9</v>
      </c>
      <c r="B15" s="69" t="s">
        <v>209</v>
      </c>
      <c r="C15" s="69" t="s">
        <v>209</v>
      </c>
      <c r="D15" s="69" t="s">
        <v>225</v>
      </c>
      <c r="E15" s="69" t="s">
        <v>226</v>
      </c>
      <c r="F15" s="69" t="s">
        <v>53</v>
      </c>
      <c r="G15" s="69" t="s">
        <v>949</v>
      </c>
      <c r="H15" s="87">
        <v>3.6700000000000001E-3</v>
      </c>
      <c r="I15" s="87"/>
      <c r="J15" s="87"/>
      <c r="K15" s="87">
        <v>3.0689166666666657E-5</v>
      </c>
      <c r="L15" s="86">
        <v>3.8999999999999999E-4</v>
      </c>
      <c r="M15" s="86"/>
      <c r="N15" s="86"/>
      <c r="O15" s="86">
        <v>6.8643999999999999E-6</v>
      </c>
      <c r="P15" s="87">
        <v>3.6700000000000001E-3</v>
      </c>
      <c r="Q15" s="87"/>
      <c r="R15" s="87"/>
      <c r="S15" s="87">
        <v>3.0689166666666657E-5</v>
      </c>
      <c r="T15" s="88">
        <v>3.6700000000000001E-3</v>
      </c>
      <c r="U15" s="88"/>
      <c r="V15" s="88"/>
      <c r="W15" s="88">
        <v>3.0689166666666657E-5</v>
      </c>
      <c r="X15" s="87">
        <v>7.2999999999999996E-4</v>
      </c>
      <c r="Y15" s="87"/>
      <c r="Z15" s="87"/>
      <c r="AA15" s="87">
        <v>1.089E-7</v>
      </c>
      <c r="AB15" s="88">
        <v>6.1999999999999998E-3</v>
      </c>
      <c r="AC15" s="88"/>
      <c r="AD15" s="88"/>
      <c r="AE15" s="88">
        <v>4.8400000000000003E-8</v>
      </c>
      <c r="AF15" s="87">
        <v>1.3896793650793646E-2</v>
      </c>
      <c r="AG15" s="87"/>
      <c r="AH15" s="87"/>
      <c r="AI15" s="87">
        <v>5.8778813876088077E-5</v>
      </c>
      <c r="AJ15" s="72" t="s">
        <v>996</v>
      </c>
    </row>
    <row r="16" spans="1:36" customFormat="1" x14ac:dyDescent="0.25">
      <c r="A16" s="68">
        <v>10</v>
      </c>
      <c r="B16" s="69" t="s">
        <v>209</v>
      </c>
      <c r="C16" s="69" t="s">
        <v>209</v>
      </c>
      <c r="D16" s="69" t="s">
        <v>227</v>
      </c>
      <c r="E16" s="69" t="s">
        <v>228</v>
      </c>
      <c r="F16" s="69" t="s">
        <v>53</v>
      </c>
      <c r="G16" s="69" t="s">
        <v>949</v>
      </c>
      <c r="H16" s="87">
        <v>0.03</v>
      </c>
      <c r="I16" s="87"/>
      <c r="J16" s="87"/>
      <c r="K16" s="87">
        <v>3.7719333333333343E-4</v>
      </c>
      <c r="L16" s="86">
        <v>7.9369999999999996E-3</v>
      </c>
      <c r="M16" s="86"/>
      <c r="N16" s="86"/>
      <c r="O16" s="86">
        <v>1.2100000000000001E-6</v>
      </c>
      <c r="P16" s="87">
        <v>0.03</v>
      </c>
      <c r="Q16" s="87"/>
      <c r="R16" s="87"/>
      <c r="S16" s="87">
        <v>3.7719333333333343E-4</v>
      </c>
      <c r="T16" s="88">
        <v>0.03</v>
      </c>
      <c r="U16" s="88"/>
      <c r="V16" s="88"/>
      <c r="W16" s="88">
        <v>3.7719333333333343E-4</v>
      </c>
      <c r="X16" s="87">
        <v>4.9999999999999998E-7</v>
      </c>
      <c r="Y16" s="87"/>
      <c r="Z16" s="87"/>
      <c r="AA16" s="87">
        <v>1.4400000000000002E-6</v>
      </c>
      <c r="AB16" s="88">
        <v>0</v>
      </c>
      <c r="AC16" s="88"/>
      <c r="AD16" s="88"/>
      <c r="AE16" s="88">
        <v>7.2361000000000009E-6</v>
      </c>
      <c r="AF16" s="87">
        <v>2.2031803278688518E-3</v>
      </c>
      <c r="AG16" s="87"/>
      <c r="AH16" s="87"/>
      <c r="AI16" s="87">
        <v>4.5617676836065585E-6</v>
      </c>
      <c r="AJ16" s="72" t="s">
        <v>996</v>
      </c>
    </row>
    <row r="17" spans="1:36" customFormat="1" x14ac:dyDescent="0.25">
      <c r="A17" s="68">
        <v>11</v>
      </c>
      <c r="B17" s="69" t="s">
        <v>209</v>
      </c>
      <c r="C17" s="69" t="s">
        <v>209</v>
      </c>
      <c r="D17" s="69" t="s">
        <v>229</v>
      </c>
      <c r="E17" s="69" t="s">
        <v>230</v>
      </c>
      <c r="F17" s="69" t="s">
        <v>53</v>
      </c>
      <c r="G17" s="69" t="s">
        <v>949</v>
      </c>
      <c r="H17" s="87">
        <v>2.49E-3</v>
      </c>
      <c r="I17" s="87"/>
      <c r="J17" s="87"/>
      <c r="K17" s="87">
        <v>2.110433333333334E-6</v>
      </c>
      <c r="L17" s="86">
        <v>4.6100000000000004E-3</v>
      </c>
      <c r="M17" s="86"/>
      <c r="N17" s="86"/>
      <c r="O17" s="86">
        <v>3.5720999999999992E-6</v>
      </c>
      <c r="P17" s="87">
        <v>2.49E-3</v>
      </c>
      <c r="Q17" s="87"/>
      <c r="R17" s="87"/>
      <c r="S17" s="87">
        <v>2.110433333333334E-6</v>
      </c>
      <c r="T17" s="88">
        <v>2.49E-3</v>
      </c>
      <c r="U17" s="88"/>
      <c r="V17" s="88"/>
      <c r="W17" s="88">
        <v>2.110433333333334E-6</v>
      </c>
      <c r="X17" s="87">
        <v>2.3000000000000001E-4</v>
      </c>
      <c r="Y17" s="87"/>
      <c r="Z17" s="87"/>
      <c r="AA17" s="87">
        <v>2.8900000000000004E-8</v>
      </c>
      <c r="AB17" s="88">
        <v>6.3000000000000003E-4</v>
      </c>
      <c r="AC17" s="88"/>
      <c r="AD17" s="88"/>
      <c r="AE17" s="88">
        <v>8.9999999999999989E-10</v>
      </c>
      <c r="AF17" s="87">
        <v>2.8055238095238094E-3</v>
      </c>
      <c r="AG17" s="87"/>
      <c r="AH17" s="87"/>
      <c r="AI17" s="87">
        <v>3.1591872857142852E-6</v>
      </c>
      <c r="AJ17" s="72" t="s">
        <v>996</v>
      </c>
    </row>
    <row r="18" spans="1:36" customFormat="1" x14ac:dyDescent="0.25">
      <c r="A18" s="68">
        <v>12</v>
      </c>
      <c r="B18" s="69" t="s">
        <v>209</v>
      </c>
      <c r="C18" s="69" t="s">
        <v>209</v>
      </c>
      <c r="D18" s="69" t="s">
        <v>231</v>
      </c>
      <c r="E18" s="69" t="s">
        <v>232</v>
      </c>
      <c r="F18" s="69" t="s">
        <v>53</v>
      </c>
      <c r="G18" s="69" t="s">
        <v>949</v>
      </c>
      <c r="H18" s="87">
        <v>3.7200000000000002E-3</v>
      </c>
      <c r="I18" s="87"/>
      <c r="J18" s="87"/>
      <c r="K18" s="87">
        <v>3.5312666666666678E-6</v>
      </c>
      <c r="L18" s="86">
        <v>2.0000000000000001E-4</v>
      </c>
      <c r="M18" s="86"/>
      <c r="N18" s="86"/>
      <c r="O18" s="86">
        <v>4.4100000000000004E-8</v>
      </c>
      <c r="P18" s="87">
        <v>3.7200000000000002E-3</v>
      </c>
      <c r="Q18" s="87"/>
      <c r="R18" s="87"/>
      <c r="S18" s="87">
        <v>3.5312666666666678E-6</v>
      </c>
      <c r="T18" s="88">
        <v>3.7200000000000002E-3</v>
      </c>
      <c r="U18" s="88"/>
      <c r="V18" s="88"/>
      <c r="W18" s="88">
        <v>3.5312666666666678E-6</v>
      </c>
      <c r="X18" s="87">
        <v>2.5999999999999998E-4</v>
      </c>
      <c r="Y18" s="87"/>
      <c r="Z18" s="87"/>
      <c r="AA18" s="87">
        <v>1.5999999999999998E-7</v>
      </c>
      <c r="AB18" s="88">
        <v>4.0999999999999999E-4</v>
      </c>
      <c r="AC18" s="88"/>
      <c r="AD18" s="88"/>
      <c r="AE18" s="88">
        <v>6.3182117028270886E-9</v>
      </c>
      <c r="AF18" s="87">
        <v>1.4382380952380953E-3</v>
      </c>
      <c r="AG18" s="87"/>
      <c r="AH18" s="87"/>
      <c r="AI18" s="87">
        <v>2.2398540506912432E-5</v>
      </c>
      <c r="AJ18" s="72" t="s">
        <v>996</v>
      </c>
    </row>
    <row r="19" spans="1:36" customFormat="1" x14ac:dyDescent="0.25">
      <c r="A19" s="68">
        <v>13</v>
      </c>
      <c r="B19" s="69" t="s">
        <v>209</v>
      </c>
      <c r="C19" s="69" t="s">
        <v>209</v>
      </c>
      <c r="D19" s="69" t="s">
        <v>233</v>
      </c>
      <c r="E19" s="69" t="s">
        <v>234</v>
      </c>
      <c r="F19" s="69" t="s">
        <v>53</v>
      </c>
      <c r="G19" s="69" t="s">
        <v>949</v>
      </c>
      <c r="H19" s="87">
        <v>7.1349999999999997E-2</v>
      </c>
      <c r="I19" s="87"/>
      <c r="J19" s="87"/>
      <c r="K19" s="87">
        <v>5.8962000000000023E-4</v>
      </c>
      <c r="L19" s="86">
        <v>3.9989999999999998E-2</v>
      </c>
      <c r="M19" s="86"/>
      <c r="N19" s="86"/>
      <c r="O19" s="86">
        <v>1.7556099999999993E-5</v>
      </c>
      <c r="P19" s="87">
        <v>7.1349999999999997E-2</v>
      </c>
      <c r="Q19" s="87"/>
      <c r="R19" s="87"/>
      <c r="S19" s="87">
        <v>5.8962000000000023E-4</v>
      </c>
      <c r="T19" s="88">
        <v>7.1349999999999997E-2</v>
      </c>
      <c r="U19" s="88"/>
      <c r="V19" s="88"/>
      <c r="W19" s="88">
        <v>5.8962000000000023E-4</v>
      </c>
      <c r="X19" s="87">
        <v>8.0199999999999994E-3</v>
      </c>
      <c r="Y19" s="87"/>
      <c r="Z19" s="87"/>
      <c r="AA19" s="87">
        <v>7.0225000000000001E-6</v>
      </c>
      <c r="AB19" s="88">
        <v>3.4959999999999998E-2</v>
      </c>
      <c r="AC19" s="88"/>
      <c r="AD19" s="88"/>
      <c r="AE19" s="88">
        <v>1.2249999999999998E-5</v>
      </c>
      <c r="AF19" s="87">
        <v>2.7012777777777774E-2</v>
      </c>
      <c r="AG19" s="87"/>
      <c r="AH19" s="87"/>
      <c r="AI19" s="87">
        <v>6.4710084878853052E-4</v>
      </c>
      <c r="AJ19" s="72" t="s">
        <v>996</v>
      </c>
    </row>
    <row r="20" spans="1:36" customFormat="1" x14ac:dyDescent="0.25">
      <c r="A20" s="68">
        <v>14</v>
      </c>
      <c r="B20" s="69" t="s">
        <v>209</v>
      </c>
      <c r="C20" s="69" t="s">
        <v>209</v>
      </c>
      <c r="D20" s="69" t="s">
        <v>235</v>
      </c>
      <c r="E20" s="69" t="s">
        <v>1018</v>
      </c>
      <c r="F20" s="69" t="s">
        <v>1019</v>
      </c>
      <c r="G20" s="69" t="s">
        <v>237</v>
      </c>
      <c r="H20" s="87">
        <v>20.475000000000001</v>
      </c>
      <c r="I20" s="87">
        <v>16.380000000000003</v>
      </c>
      <c r="J20" s="87">
        <v>24.57</v>
      </c>
      <c r="K20" s="87">
        <v>2.7948374999999999</v>
      </c>
      <c r="L20" s="86">
        <v>180.26112000000001</v>
      </c>
      <c r="M20" s="86">
        <v>144.20889600000001</v>
      </c>
      <c r="N20" s="86">
        <v>216.313344</v>
      </c>
      <c r="O20" s="86">
        <v>216.62714255769606</v>
      </c>
      <c r="P20" s="87">
        <v>20.475000000000001</v>
      </c>
      <c r="Q20" s="87">
        <v>16.380000000000003</v>
      </c>
      <c r="R20" s="87">
        <v>24.57</v>
      </c>
      <c r="S20" s="87">
        <v>2.7948374999999999</v>
      </c>
      <c r="T20" s="88">
        <v>20.475000000000001</v>
      </c>
      <c r="U20" s="88">
        <v>16.380000000000003</v>
      </c>
      <c r="V20" s="88">
        <v>24.57</v>
      </c>
      <c r="W20" s="88">
        <v>2.7948374999999999</v>
      </c>
      <c r="X20" s="87">
        <v>198.51750000000001</v>
      </c>
      <c r="Y20" s="87">
        <v>158.81400000000002</v>
      </c>
      <c r="Z20" s="87">
        <v>238.221</v>
      </c>
      <c r="AA20" s="87">
        <v>262.72798537500057</v>
      </c>
      <c r="AB20" s="88">
        <v>14.895</v>
      </c>
      <c r="AC20" s="88">
        <v>11.916</v>
      </c>
      <c r="AD20" s="88">
        <v>17.873999999999999</v>
      </c>
      <c r="AE20" s="88">
        <v>1.4790734999999919</v>
      </c>
      <c r="AF20" s="87">
        <v>0</v>
      </c>
      <c r="AG20" s="87">
        <v>0</v>
      </c>
      <c r="AH20" s="87">
        <v>0</v>
      </c>
      <c r="AI20" s="87">
        <v>0</v>
      </c>
      <c r="AJ20" s="72" t="s">
        <v>478</v>
      </c>
    </row>
    <row r="21" spans="1:36" customFormat="1" x14ac:dyDescent="0.25">
      <c r="A21" s="68">
        <v>15</v>
      </c>
      <c r="B21" s="69" t="s">
        <v>275</v>
      </c>
      <c r="C21" s="69" t="s">
        <v>1024</v>
      </c>
      <c r="D21" s="69" t="s">
        <v>386</v>
      </c>
      <c r="E21" s="69" t="s">
        <v>387</v>
      </c>
      <c r="F21" s="69" t="s">
        <v>388</v>
      </c>
      <c r="G21" s="69" t="s">
        <v>237</v>
      </c>
      <c r="H21" s="70">
        <v>0</v>
      </c>
      <c r="I21" s="70">
        <v>0</v>
      </c>
      <c r="J21" s="70">
        <v>0</v>
      </c>
      <c r="K21" s="70">
        <v>0</v>
      </c>
      <c r="L21" s="73">
        <v>1</v>
      </c>
      <c r="M21" s="73">
        <v>0</v>
      </c>
      <c r="N21" s="73">
        <v>2</v>
      </c>
      <c r="O21" s="73">
        <v>0.16666666666666666</v>
      </c>
      <c r="P21" s="70">
        <v>0</v>
      </c>
      <c r="Q21" s="70">
        <v>0</v>
      </c>
      <c r="R21" s="70">
        <v>0</v>
      </c>
      <c r="S21" s="70">
        <v>0</v>
      </c>
      <c r="T21" s="71">
        <v>0</v>
      </c>
      <c r="U21" s="71">
        <v>0</v>
      </c>
      <c r="V21" s="71">
        <v>0</v>
      </c>
      <c r="W21" s="71">
        <v>0</v>
      </c>
      <c r="X21" s="70">
        <v>0</v>
      </c>
      <c r="Y21" s="70">
        <v>0</v>
      </c>
      <c r="Z21" s="70">
        <v>0</v>
      </c>
      <c r="AA21" s="70">
        <v>0</v>
      </c>
      <c r="AB21" s="71">
        <v>5</v>
      </c>
      <c r="AC21" s="71">
        <v>0</v>
      </c>
      <c r="AD21" s="71">
        <v>17.2</v>
      </c>
      <c r="AE21" s="71">
        <v>13.046666666666665</v>
      </c>
      <c r="AF21" s="70">
        <v>0</v>
      </c>
      <c r="AG21" s="70">
        <v>0</v>
      </c>
      <c r="AH21" s="70">
        <v>0</v>
      </c>
      <c r="AI21" s="70">
        <v>0</v>
      </c>
      <c r="AJ21" s="72" t="s">
        <v>930</v>
      </c>
    </row>
    <row r="22" spans="1:36" customFormat="1" x14ac:dyDescent="0.25">
      <c r="A22" s="68">
        <v>16</v>
      </c>
      <c r="B22" s="69" t="s">
        <v>275</v>
      </c>
      <c r="C22" s="69" t="s">
        <v>1024</v>
      </c>
      <c r="D22" s="69" t="s">
        <v>389</v>
      </c>
      <c r="E22" s="69" t="s">
        <v>262</v>
      </c>
      <c r="F22" s="69" t="s">
        <v>390</v>
      </c>
      <c r="G22" s="69" t="s">
        <v>237</v>
      </c>
      <c r="H22" s="70">
        <v>0</v>
      </c>
      <c r="I22" s="70">
        <v>0</v>
      </c>
      <c r="J22" s="70">
        <v>0</v>
      </c>
      <c r="K22" s="70">
        <v>0</v>
      </c>
      <c r="L22" s="71">
        <v>0.45</v>
      </c>
      <c r="M22" s="71">
        <v>0</v>
      </c>
      <c r="N22" s="71">
        <v>1.7247448713915889</v>
      </c>
      <c r="O22" s="71">
        <v>0.13339498218140963</v>
      </c>
      <c r="P22" s="70">
        <v>0</v>
      </c>
      <c r="Q22" s="70">
        <v>0</v>
      </c>
      <c r="R22" s="70">
        <v>0</v>
      </c>
      <c r="S22" s="70">
        <v>0</v>
      </c>
      <c r="T22" s="71">
        <v>0</v>
      </c>
      <c r="U22" s="71">
        <v>0</v>
      </c>
      <c r="V22" s="71">
        <v>0</v>
      </c>
      <c r="W22" s="71">
        <v>0</v>
      </c>
      <c r="X22" s="70">
        <v>0</v>
      </c>
      <c r="Y22" s="70">
        <v>0</v>
      </c>
      <c r="Z22" s="70">
        <v>0</v>
      </c>
      <c r="AA22" s="70">
        <v>0</v>
      </c>
      <c r="AB22" s="71">
        <v>0</v>
      </c>
      <c r="AC22" s="71">
        <v>0</v>
      </c>
      <c r="AD22" s="71">
        <v>0</v>
      </c>
      <c r="AE22" s="71">
        <v>0</v>
      </c>
      <c r="AF22" s="70">
        <v>0</v>
      </c>
      <c r="AG22" s="70">
        <v>0</v>
      </c>
      <c r="AH22" s="70">
        <v>0</v>
      </c>
      <c r="AI22" s="70">
        <v>0</v>
      </c>
      <c r="AJ22" s="72" t="s">
        <v>930</v>
      </c>
    </row>
    <row r="23" spans="1:36" customFormat="1" x14ac:dyDescent="0.25">
      <c r="A23" s="68">
        <v>17</v>
      </c>
      <c r="B23" s="69" t="s">
        <v>275</v>
      </c>
      <c r="C23" s="69" t="s">
        <v>1024</v>
      </c>
      <c r="D23" s="69" t="s">
        <v>391</v>
      </c>
      <c r="E23" s="69" t="s">
        <v>392</v>
      </c>
      <c r="F23" s="69" t="s">
        <v>390</v>
      </c>
      <c r="G23" s="69" t="s">
        <v>237</v>
      </c>
      <c r="H23" s="70">
        <v>0</v>
      </c>
      <c r="I23" s="70">
        <v>0</v>
      </c>
      <c r="J23" s="70">
        <v>0</v>
      </c>
      <c r="K23" s="70">
        <v>0</v>
      </c>
      <c r="L23" s="71">
        <v>0</v>
      </c>
      <c r="M23" s="71">
        <v>0</v>
      </c>
      <c r="N23" s="71">
        <v>0</v>
      </c>
      <c r="O23" s="71">
        <v>0</v>
      </c>
      <c r="P23" s="70">
        <v>0</v>
      </c>
      <c r="Q23" s="70">
        <v>0</v>
      </c>
      <c r="R23" s="70">
        <v>0</v>
      </c>
      <c r="S23" s="70">
        <v>0</v>
      </c>
      <c r="T23" s="71">
        <v>0</v>
      </c>
      <c r="U23" s="71">
        <v>0</v>
      </c>
      <c r="V23" s="71">
        <v>0</v>
      </c>
      <c r="W23" s="71">
        <v>0</v>
      </c>
      <c r="X23" s="70">
        <v>0</v>
      </c>
      <c r="Y23" s="70">
        <v>0</v>
      </c>
      <c r="Z23" s="70">
        <v>0</v>
      </c>
      <c r="AA23" s="70">
        <v>0</v>
      </c>
      <c r="AB23" s="71">
        <v>0</v>
      </c>
      <c r="AC23" s="71">
        <v>0</v>
      </c>
      <c r="AD23" s="71">
        <v>0</v>
      </c>
      <c r="AE23" s="71">
        <v>0</v>
      </c>
      <c r="AF23" s="70">
        <v>0</v>
      </c>
      <c r="AG23" s="70">
        <v>0</v>
      </c>
      <c r="AH23" s="70">
        <v>0</v>
      </c>
      <c r="AI23" s="70">
        <v>0</v>
      </c>
      <c r="AJ23" s="72" t="s">
        <v>930</v>
      </c>
    </row>
    <row r="24" spans="1:36" customFormat="1" x14ac:dyDescent="0.25">
      <c r="A24" s="68">
        <v>18</v>
      </c>
      <c r="B24" s="69" t="s">
        <v>275</v>
      </c>
      <c r="C24" s="69" t="s">
        <v>1024</v>
      </c>
      <c r="D24" s="69" t="s">
        <v>393</v>
      </c>
      <c r="E24" s="69" t="s">
        <v>259</v>
      </c>
      <c r="F24" s="69" t="s">
        <v>390</v>
      </c>
      <c r="G24" s="69" t="s">
        <v>237</v>
      </c>
      <c r="H24" s="70">
        <v>0</v>
      </c>
      <c r="I24" s="70">
        <v>0</v>
      </c>
      <c r="J24" s="70">
        <v>0</v>
      </c>
      <c r="K24" s="70">
        <v>0</v>
      </c>
      <c r="L24" s="71">
        <v>3.6</v>
      </c>
      <c r="M24" s="71">
        <v>2</v>
      </c>
      <c r="N24" s="71">
        <v>8</v>
      </c>
      <c r="O24" s="71">
        <v>1.608888888888889</v>
      </c>
      <c r="P24" s="70">
        <v>0</v>
      </c>
      <c r="Q24" s="70">
        <v>0</v>
      </c>
      <c r="R24" s="70">
        <v>0</v>
      </c>
      <c r="S24" s="70">
        <v>0</v>
      </c>
      <c r="T24" s="71">
        <v>0</v>
      </c>
      <c r="U24" s="71">
        <v>0</v>
      </c>
      <c r="V24" s="71">
        <v>0</v>
      </c>
      <c r="W24" s="71">
        <v>0</v>
      </c>
      <c r="X24" s="70">
        <v>0</v>
      </c>
      <c r="Y24" s="70">
        <v>0</v>
      </c>
      <c r="Z24" s="70">
        <v>0</v>
      </c>
      <c r="AA24" s="70">
        <v>0</v>
      </c>
      <c r="AB24" s="71">
        <v>0.43984962406015043</v>
      </c>
      <c r="AC24" s="71">
        <v>0</v>
      </c>
      <c r="AD24" s="71">
        <v>0</v>
      </c>
      <c r="AE24" s="71">
        <v>1.0748205099214203E-2</v>
      </c>
      <c r="AF24" s="70">
        <v>0</v>
      </c>
      <c r="AG24" s="70">
        <v>0</v>
      </c>
      <c r="AH24" s="70">
        <v>0</v>
      </c>
      <c r="AI24" s="70">
        <v>0</v>
      </c>
      <c r="AJ24" s="72" t="s">
        <v>930</v>
      </c>
    </row>
    <row r="25" spans="1:36" customFormat="1" x14ac:dyDescent="0.25">
      <c r="A25" s="68">
        <v>19</v>
      </c>
      <c r="B25" s="69" t="s">
        <v>275</v>
      </c>
      <c r="C25" s="69" t="s">
        <v>1025</v>
      </c>
      <c r="D25" s="69" t="s">
        <v>394</v>
      </c>
      <c r="E25" s="69" t="s">
        <v>387</v>
      </c>
      <c r="F25" s="69" t="s">
        <v>395</v>
      </c>
      <c r="G25" s="69" t="s">
        <v>237</v>
      </c>
      <c r="H25" s="70">
        <v>0</v>
      </c>
      <c r="I25" s="70">
        <v>0</v>
      </c>
      <c r="J25" s="70">
        <v>0</v>
      </c>
      <c r="K25" s="70">
        <v>0</v>
      </c>
      <c r="L25" s="71">
        <v>0</v>
      </c>
      <c r="M25" s="71">
        <v>0</v>
      </c>
      <c r="N25" s="71">
        <v>0</v>
      </c>
      <c r="O25" s="71">
        <v>0</v>
      </c>
      <c r="P25" s="70">
        <v>0</v>
      </c>
      <c r="Q25" s="70">
        <v>0</v>
      </c>
      <c r="R25" s="70">
        <v>0</v>
      </c>
      <c r="S25" s="70">
        <v>0</v>
      </c>
      <c r="T25" s="71">
        <v>0</v>
      </c>
      <c r="U25" s="71">
        <v>0</v>
      </c>
      <c r="V25" s="71">
        <v>0</v>
      </c>
      <c r="W25" s="71">
        <v>0</v>
      </c>
      <c r="X25" s="70">
        <v>0</v>
      </c>
      <c r="Y25" s="70">
        <v>0</v>
      </c>
      <c r="Z25" s="70">
        <v>0</v>
      </c>
      <c r="AA25" s="70">
        <v>0</v>
      </c>
      <c r="AB25" s="71">
        <v>10.5</v>
      </c>
      <c r="AC25" s="71">
        <v>0</v>
      </c>
      <c r="AD25" s="71">
        <v>34.494897427831781</v>
      </c>
      <c r="AE25" s="71">
        <v>52.108418086911215</v>
      </c>
      <c r="AF25" s="70">
        <v>0</v>
      </c>
      <c r="AG25" s="70">
        <v>0</v>
      </c>
      <c r="AH25" s="70">
        <v>0</v>
      </c>
      <c r="AI25" s="70">
        <v>0</v>
      </c>
      <c r="AJ25" s="72" t="s">
        <v>930</v>
      </c>
    </row>
    <row r="26" spans="1:36" customFormat="1" x14ac:dyDescent="0.25">
      <c r="A26" s="68">
        <v>20</v>
      </c>
      <c r="B26" s="69" t="s">
        <v>275</v>
      </c>
      <c r="C26" s="69" t="s">
        <v>1025</v>
      </c>
      <c r="D26" s="69" t="s">
        <v>396</v>
      </c>
      <c r="E26" s="69" t="s">
        <v>262</v>
      </c>
      <c r="F26" s="69" t="s">
        <v>397</v>
      </c>
      <c r="G26" s="69" t="s">
        <v>237</v>
      </c>
      <c r="H26" s="70">
        <v>0</v>
      </c>
      <c r="I26" s="70">
        <v>0</v>
      </c>
      <c r="J26" s="70">
        <v>0</v>
      </c>
      <c r="K26" s="70">
        <v>0</v>
      </c>
      <c r="L26" s="71">
        <v>0</v>
      </c>
      <c r="M26" s="71">
        <v>0</v>
      </c>
      <c r="N26" s="71">
        <v>0</v>
      </c>
      <c r="O26" s="71">
        <v>0</v>
      </c>
      <c r="P26" s="70">
        <v>0</v>
      </c>
      <c r="Q26" s="70">
        <v>0</v>
      </c>
      <c r="R26" s="70">
        <v>0</v>
      </c>
      <c r="S26" s="70">
        <v>0</v>
      </c>
      <c r="T26" s="71">
        <v>0</v>
      </c>
      <c r="U26" s="71">
        <v>0</v>
      </c>
      <c r="V26" s="71">
        <v>0</v>
      </c>
      <c r="W26" s="71">
        <v>0</v>
      </c>
      <c r="X26" s="70">
        <v>0</v>
      </c>
      <c r="Y26" s="70">
        <v>0</v>
      </c>
      <c r="Z26" s="70">
        <v>0</v>
      </c>
      <c r="AA26" s="70">
        <v>0</v>
      </c>
      <c r="AB26" s="71">
        <v>0</v>
      </c>
      <c r="AC26" s="71">
        <v>0</v>
      </c>
      <c r="AD26" s="71">
        <v>0</v>
      </c>
      <c r="AE26" s="71">
        <v>0</v>
      </c>
      <c r="AF26" s="70">
        <v>0</v>
      </c>
      <c r="AG26" s="70">
        <v>0</v>
      </c>
      <c r="AH26" s="70">
        <v>0</v>
      </c>
      <c r="AI26" s="70">
        <v>0</v>
      </c>
      <c r="AJ26" s="72" t="s">
        <v>930</v>
      </c>
    </row>
    <row r="27" spans="1:36" customFormat="1" x14ac:dyDescent="0.25">
      <c r="A27" s="68">
        <v>21</v>
      </c>
      <c r="B27" s="69" t="s">
        <v>275</v>
      </c>
      <c r="C27" s="69" t="s">
        <v>1025</v>
      </c>
      <c r="D27" s="69" t="s">
        <v>398</v>
      </c>
      <c r="E27" s="69" t="s">
        <v>392</v>
      </c>
      <c r="F27" s="69" t="s">
        <v>397</v>
      </c>
      <c r="G27" s="69" t="s">
        <v>237</v>
      </c>
      <c r="H27" s="70">
        <v>0</v>
      </c>
      <c r="I27" s="70">
        <v>0</v>
      </c>
      <c r="J27" s="70">
        <v>0</v>
      </c>
      <c r="K27" s="70">
        <v>0</v>
      </c>
      <c r="L27" s="71">
        <v>0</v>
      </c>
      <c r="M27" s="71">
        <v>0</v>
      </c>
      <c r="N27" s="71">
        <v>0</v>
      </c>
      <c r="O27" s="71">
        <v>0</v>
      </c>
      <c r="P27" s="70">
        <v>0</v>
      </c>
      <c r="Q27" s="70">
        <v>0</v>
      </c>
      <c r="R27" s="70">
        <v>0</v>
      </c>
      <c r="S27" s="70">
        <v>0</v>
      </c>
      <c r="T27" s="71">
        <v>0</v>
      </c>
      <c r="U27" s="71">
        <v>0</v>
      </c>
      <c r="V27" s="71">
        <v>0</v>
      </c>
      <c r="W27" s="71">
        <v>0</v>
      </c>
      <c r="X27" s="70">
        <v>0</v>
      </c>
      <c r="Y27" s="70">
        <v>0</v>
      </c>
      <c r="Z27" s="70">
        <v>0</v>
      </c>
      <c r="AA27" s="70">
        <v>0</v>
      </c>
      <c r="AB27" s="71">
        <v>0</v>
      </c>
      <c r="AC27" s="71">
        <v>0</v>
      </c>
      <c r="AD27" s="71">
        <v>0</v>
      </c>
      <c r="AE27" s="71">
        <v>0</v>
      </c>
      <c r="AF27" s="70">
        <v>0</v>
      </c>
      <c r="AG27" s="70">
        <v>0</v>
      </c>
      <c r="AH27" s="70">
        <v>0</v>
      </c>
      <c r="AI27" s="70">
        <v>0</v>
      </c>
      <c r="AJ27" s="72" t="s">
        <v>930</v>
      </c>
    </row>
    <row r="28" spans="1:36" customFormat="1" x14ac:dyDescent="0.25">
      <c r="A28" s="68">
        <v>22</v>
      </c>
      <c r="B28" s="69" t="s">
        <v>275</v>
      </c>
      <c r="C28" s="69" t="s">
        <v>1025</v>
      </c>
      <c r="D28" s="69" t="s">
        <v>399</v>
      </c>
      <c r="E28" s="69" t="s">
        <v>259</v>
      </c>
      <c r="F28" s="69" t="s">
        <v>397</v>
      </c>
      <c r="G28" s="69" t="s">
        <v>237</v>
      </c>
      <c r="H28" s="70">
        <v>0</v>
      </c>
      <c r="I28" s="70">
        <v>0</v>
      </c>
      <c r="J28" s="70">
        <v>0</v>
      </c>
      <c r="K28" s="70">
        <v>0</v>
      </c>
      <c r="L28" s="71">
        <v>0</v>
      </c>
      <c r="M28" s="71">
        <v>0</v>
      </c>
      <c r="N28" s="71">
        <v>0</v>
      </c>
      <c r="O28" s="71">
        <v>0</v>
      </c>
      <c r="P28" s="70">
        <v>0</v>
      </c>
      <c r="Q28" s="70">
        <v>0</v>
      </c>
      <c r="R28" s="70">
        <v>0</v>
      </c>
      <c r="S28" s="70">
        <v>0</v>
      </c>
      <c r="T28" s="71">
        <v>0</v>
      </c>
      <c r="U28" s="71">
        <v>0</v>
      </c>
      <c r="V28" s="71">
        <v>0</v>
      </c>
      <c r="W28" s="71">
        <v>0</v>
      </c>
      <c r="X28" s="70">
        <v>0</v>
      </c>
      <c r="Y28" s="70">
        <v>0</v>
      </c>
      <c r="Z28" s="70">
        <v>0</v>
      </c>
      <c r="AA28" s="70">
        <v>0</v>
      </c>
      <c r="AB28" s="73">
        <v>0.40056628914057302</v>
      </c>
      <c r="AC28" s="73">
        <v>0</v>
      </c>
      <c r="AD28" s="73">
        <v>1.3619253830779483</v>
      </c>
      <c r="AE28" s="73">
        <v>8.1652928015665469E-2</v>
      </c>
      <c r="AF28" s="70">
        <v>0</v>
      </c>
      <c r="AG28" s="70">
        <v>0</v>
      </c>
      <c r="AH28" s="70">
        <v>0</v>
      </c>
      <c r="AI28" s="70">
        <v>0</v>
      </c>
      <c r="AJ28" s="72" t="s">
        <v>930</v>
      </c>
    </row>
    <row r="29" spans="1:36" customFormat="1" x14ac:dyDescent="0.25">
      <c r="A29" s="68">
        <v>23</v>
      </c>
      <c r="B29" s="69" t="s">
        <v>275</v>
      </c>
      <c r="C29" s="69" t="s">
        <v>997</v>
      </c>
      <c r="D29" s="69" t="s">
        <v>400</v>
      </c>
      <c r="E29" s="69" t="s">
        <v>387</v>
      </c>
      <c r="F29" s="69" t="s">
        <v>401</v>
      </c>
      <c r="G29" s="69" t="s">
        <v>237</v>
      </c>
      <c r="H29" s="70">
        <v>5</v>
      </c>
      <c r="I29" s="70">
        <v>0</v>
      </c>
      <c r="J29" s="70">
        <v>17.24744871391589</v>
      </c>
      <c r="K29" s="70">
        <v>13.12429130942108</v>
      </c>
      <c r="L29" s="71">
        <v>0</v>
      </c>
      <c r="M29" s="71">
        <v>0</v>
      </c>
      <c r="N29" s="71">
        <v>0</v>
      </c>
      <c r="O29" s="71">
        <v>0</v>
      </c>
      <c r="P29" s="70">
        <v>0</v>
      </c>
      <c r="Q29" s="70">
        <v>0</v>
      </c>
      <c r="R29" s="70">
        <v>0</v>
      </c>
      <c r="S29" s="70">
        <v>0</v>
      </c>
      <c r="T29" s="71">
        <v>0</v>
      </c>
      <c r="U29" s="71">
        <v>0</v>
      </c>
      <c r="V29" s="71">
        <v>0</v>
      </c>
      <c r="W29" s="71">
        <v>0</v>
      </c>
      <c r="X29" s="70">
        <v>0</v>
      </c>
      <c r="Y29" s="70">
        <v>0</v>
      </c>
      <c r="Z29" s="70">
        <v>0</v>
      </c>
      <c r="AA29" s="70">
        <v>0</v>
      </c>
      <c r="AB29" s="73">
        <v>5</v>
      </c>
      <c r="AC29" s="73">
        <v>0</v>
      </c>
      <c r="AD29" s="73">
        <v>17.24744871391589</v>
      </c>
      <c r="AE29" s="73">
        <v>13.12429130942108</v>
      </c>
      <c r="AF29" s="70">
        <v>0</v>
      </c>
      <c r="AG29" s="70">
        <v>0</v>
      </c>
      <c r="AH29" s="70">
        <v>0</v>
      </c>
      <c r="AI29" s="70">
        <v>0</v>
      </c>
      <c r="AJ29" s="72" t="s">
        <v>930</v>
      </c>
    </row>
    <row r="30" spans="1:36" customFormat="1" x14ac:dyDescent="0.25">
      <c r="A30" s="68">
        <v>24</v>
      </c>
      <c r="B30" s="69" t="s">
        <v>275</v>
      </c>
      <c r="C30" s="69" t="s">
        <v>997</v>
      </c>
      <c r="D30" s="69" t="s">
        <v>402</v>
      </c>
      <c r="E30" s="69" t="s">
        <v>262</v>
      </c>
      <c r="F30" s="69" t="s">
        <v>403</v>
      </c>
      <c r="G30" s="69" t="s">
        <v>237</v>
      </c>
      <c r="H30" s="70">
        <v>0</v>
      </c>
      <c r="I30" s="70">
        <v>0</v>
      </c>
      <c r="J30" s="70">
        <v>0</v>
      </c>
      <c r="K30" s="70">
        <v>0</v>
      </c>
      <c r="L30" s="71">
        <v>0</v>
      </c>
      <c r="M30" s="71">
        <v>0</v>
      </c>
      <c r="N30" s="71">
        <v>0</v>
      </c>
      <c r="O30" s="71">
        <v>0</v>
      </c>
      <c r="P30" s="70">
        <v>0</v>
      </c>
      <c r="Q30" s="70">
        <v>0</v>
      </c>
      <c r="R30" s="70">
        <v>0</v>
      </c>
      <c r="S30" s="70">
        <v>0</v>
      </c>
      <c r="T30" s="71">
        <v>0</v>
      </c>
      <c r="U30" s="71">
        <v>0</v>
      </c>
      <c r="V30" s="71">
        <v>0</v>
      </c>
      <c r="W30" s="71">
        <v>0</v>
      </c>
      <c r="X30" s="70">
        <v>0</v>
      </c>
      <c r="Y30" s="70">
        <v>0</v>
      </c>
      <c r="Z30" s="70">
        <v>0</v>
      </c>
      <c r="AA30" s="70">
        <v>0</v>
      </c>
      <c r="AB30" s="73">
        <v>0</v>
      </c>
      <c r="AC30" s="73">
        <v>0</v>
      </c>
      <c r="AD30" s="73">
        <v>0</v>
      </c>
      <c r="AE30" s="73">
        <v>0</v>
      </c>
      <c r="AF30" s="70">
        <v>0</v>
      </c>
      <c r="AG30" s="70">
        <v>0</v>
      </c>
      <c r="AH30" s="70">
        <v>0</v>
      </c>
      <c r="AI30" s="70">
        <v>0</v>
      </c>
      <c r="AJ30" s="72" t="s">
        <v>930</v>
      </c>
    </row>
    <row r="31" spans="1:36" customFormat="1" x14ac:dyDescent="0.25">
      <c r="A31" s="68">
        <v>25</v>
      </c>
      <c r="B31" s="69" t="s">
        <v>275</v>
      </c>
      <c r="C31" s="69" t="s">
        <v>997</v>
      </c>
      <c r="D31" s="69" t="s">
        <v>404</v>
      </c>
      <c r="E31" s="69" t="s">
        <v>392</v>
      </c>
      <c r="F31" s="69" t="s">
        <v>403</v>
      </c>
      <c r="G31" s="69" t="s">
        <v>237</v>
      </c>
      <c r="H31" s="70">
        <v>0</v>
      </c>
      <c r="I31" s="70">
        <v>0</v>
      </c>
      <c r="J31" s="70">
        <v>0</v>
      </c>
      <c r="K31" s="70">
        <v>0</v>
      </c>
      <c r="L31" s="71">
        <v>0</v>
      </c>
      <c r="M31" s="71">
        <v>0</v>
      </c>
      <c r="N31" s="71">
        <v>0</v>
      </c>
      <c r="O31" s="71">
        <v>0</v>
      </c>
      <c r="P31" s="70">
        <v>0</v>
      </c>
      <c r="Q31" s="70">
        <v>0</v>
      </c>
      <c r="R31" s="70">
        <v>0</v>
      </c>
      <c r="S31" s="70">
        <v>0</v>
      </c>
      <c r="T31" s="71">
        <v>0</v>
      </c>
      <c r="U31" s="71">
        <v>0</v>
      </c>
      <c r="V31" s="71">
        <v>0</v>
      </c>
      <c r="W31" s="71">
        <v>0</v>
      </c>
      <c r="X31" s="70">
        <v>0</v>
      </c>
      <c r="Y31" s="70">
        <v>0</v>
      </c>
      <c r="Z31" s="70">
        <v>0</v>
      </c>
      <c r="AA31" s="70">
        <v>0</v>
      </c>
      <c r="AB31" s="73">
        <v>0</v>
      </c>
      <c r="AC31" s="73">
        <v>0</v>
      </c>
      <c r="AD31" s="73">
        <v>0</v>
      </c>
      <c r="AE31" s="73">
        <v>0</v>
      </c>
      <c r="AF31" s="70">
        <v>0</v>
      </c>
      <c r="AG31" s="70">
        <v>0</v>
      </c>
      <c r="AH31" s="70">
        <v>0</v>
      </c>
      <c r="AI31" s="70">
        <v>0</v>
      </c>
      <c r="AJ31" s="72" t="s">
        <v>930</v>
      </c>
    </row>
    <row r="32" spans="1:36" customFormat="1" x14ac:dyDescent="0.25">
      <c r="A32" s="68">
        <v>26</v>
      </c>
      <c r="B32" s="69" t="s">
        <v>275</v>
      </c>
      <c r="C32" s="69" t="s">
        <v>997</v>
      </c>
      <c r="D32" s="69" t="s">
        <v>405</v>
      </c>
      <c r="E32" s="69" t="s">
        <v>259</v>
      </c>
      <c r="F32" s="69" t="s">
        <v>403</v>
      </c>
      <c r="G32" s="69" t="s">
        <v>237</v>
      </c>
      <c r="H32" s="70">
        <v>0.5344285644918505</v>
      </c>
      <c r="I32" s="70">
        <v>0</v>
      </c>
      <c r="J32" s="70">
        <v>1.48</v>
      </c>
      <c r="K32" s="70">
        <v>9.361442306093784E-2</v>
      </c>
      <c r="L32" s="71">
        <v>0</v>
      </c>
      <c r="M32" s="71">
        <v>0</v>
      </c>
      <c r="N32" s="71">
        <v>0</v>
      </c>
      <c r="O32" s="71">
        <v>0</v>
      </c>
      <c r="P32" s="70">
        <v>0</v>
      </c>
      <c r="Q32" s="70">
        <v>0</v>
      </c>
      <c r="R32" s="70">
        <v>0</v>
      </c>
      <c r="S32" s="70">
        <v>0</v>
      </c>
      <c r="T32" s="71">
        <v>0</v>
      </c>
      <c r="U32" s="71">
        <v>0</v>
      </c>
      <c r="V32" s="71">
        <v>0</v>
      </c>
      <c r="W32" s="71">
        <v>0</v>
      </c>
      <c r="X32" s="70">
        <v>0</v>
      </c>
      <c r="Y32" s="70">
        <v>0</v>
      </c>
      <c r="Z32" s="70">
        <v>0</v>
      </c>
      <c r="AA32" s="70">
        <v>0</v>
      </c>
      <c r="AB32" s="73">
        <v>0</v>
      </c>
      <c r="AC32" s="73">
        <v>0</v>
      </c>
      <c r="AD32" s="73">
        <v>0</v>
      </c>
      <c r="AE32" s="73">
        <v>0</v>
      </c>
      <c r="AF32" s="70">
        <v>0</v>
      </c>
      <c r="AG32" s="70">
        <v>0</v>
      </c>
      <c r="AH32" s="70">
        <v>0</v>
      </c>
      <c r="AI32" s="70">
        <v>0</v>
      </c>
      <c r="AJ32" s="72" t="s">
        <v>930</v>
      </c>
    </row>
    <row r="33" spans="1:36" customFormat="1" x14ac:dyDescent="0.25">
      <c r="A33" s="68">
        <v>27</v>
      </c>
      <c r="B33" s="69" t="s">
        <v>275</v>
      </c>
      <c r="C33" s="69" t="s">
        <v>998</v>
      </c>
      <c r="D33" s="69" t="s">
        <v>406</v>
      </c>
      <c r="E33" s="69" t="s">
        <v>387</v>
      </c>
      <c r="F33" s="69" t="s">
        <v>407</v>
      </c>
      <c r="G33" s="69" t="s">
        <v>237</v>
      </c>
      <c r="H33" s="70">
        <v>5</v>
      </c>
      <c r="I33" s="70">
        <v>0</v>
      </c>
      <c r="J33" s="70">
        <v>17.24744871391589</v>
      </c>
      <c r="K33" s="70">
        <v>13.12429130942108</v>
      </c>
      <c r="L33" s="71">
        <v>0</v>
      </c>
      <c r="M33" s="71">
        <v>0</v>
      </c>
      <c r="N33" s="71">
        <v>0</v>
      </c>
      <c r="O33" s="71">
        <v>0</v>
      </c>
      <c r="P33" s="70">
        <v>5</v>
      </c>
      <c r="Q33" s="70">
        <v>0</v>
      </c>
      <c r="R33" s="70">
        <v>17.24744871391589</v>
      </c>
      <c r="S33" s="70">
        <v>13.12429130942108</v>
      </c>
      <c r="T33" s="71">
        <v>5</v>
      </c>
      <c r="U33" s="71">
        <v>0</v>
      </c>
      <c r="V33" s="71">
        <v>17.24744871391589</v>
      </c>
      <c r="W33" s="71">
        <v>13.12429130942108</v>
      </c>
      <c r="X33" s="70">
        <v>0</v>
      </c>
      <c r="Y33" s="70">
        <v>0</v>
      </c>
      <c r="Z33" s="70">
        <v>0</v>
      </c>
      <c r="AA33" s="70">
        <v>0</v>
      </c>
      <c r="AB33" s="73">
        <v>5</v>
      </c>
      <c r="AC33" s="73">
        <v>0</v>
      </c>
      <c r="AD33" s="73">
        <v>17.24744871391589</v>
      </c>
      <c r="AE33" s="73">
        <v>13.12429130942108</v>
      </c>
      <c r="AF33" s="70">
        <v>0</v>
      </c>
      <c r="AG33" s="70">
        <v>0</v>
      </c>
      <c r="AH33" s="70">
        <v>0</v>
      </c>
      <c r="AI33" s="70">
        <v>0</v>
      </c>
      <c r="AJ33" s="72" t="s">
        <v>930</v>
      </c>
    </row>
    <row r="34" spans="1:36" customFormat="1" x14ac:dyDescent="0.25">
      <c r="A34" s="68">
        <v>28</v>
      </c>
      <c r="B34" s="69" t="s">
        <v>275</v>
      </c>
      <c r="C34" s="69" t="s">
        <v>998</v>
      </c>
      <c r="D34" s="69" t="s">
        <v>408</v>
      </c>
      <c r="E34" s="69" t="s">
        <v>262</v>
      </c>
      <c r="F34" s="69" t="s">
        <v>409</v>
      </c>
      <c r="G34" s="69" t="s">
        <v>237</v>
      </c>
      <c r="H34" s="70">
        <v>0</v>
      </c>
      <c r="I34" s="70">
        <v>0</v>
      </c>
      <c r="J34" s="70">
        <v>0</v>
      </c>
      <c r="K34" s="70">
        <v>0</v>
      </c>
      <c r="L34" s="71">
        <v>0</v>
      </c>
      <c r="M34" s="71">
        <v>0</v>
      </c>
      <c r="N34" s="71">
        <v>0</v>
      </c>
      <c r="O34" s="71">
        <v>0</v>
      </c>
      <c r="P34" s="70">
        <v>0</v>
      </c>
      <c r="Q34" s="70">
        <v>0</v>
      </c>
      <c r="R34" s="70">
        <v>0</v>
      </c>
      <c r="S34" s="70">
        <v>0</v>
      </c>
      <c r="T34" s="71">
        <v>0</v>
      </c>
      <c r="U34" s="71">
        <v>0</v>
      </c>
      <c r="V34" s="71">
        <v>0</v>
      </c>
      <c r="W34" s="71">
        <v>0</v>
      </c>
      <c r="X34" s="70">
        <v>0</v>
      </c>
      <c r="Y34" s="70">
        <v>0</v>
      </c>
      <c r="Z34" s="70">
        <v>0</v>
      </c>
      <c r="AA34" s="70">
        <v>0</v>
      </c>
      <c r="AB34" s="73">
        <v>0</v>
      </c>
      <c r="AC34" s="73">
        <v>0</v>
      </c>
      <c r="AD34" s="73">
        <v>0</v>
      </c>
      <c r="AE34" s="73">
        <v>0</v>
      </c>
      <c r="AF34" s="70">
        <v>0</v>
      </c>
      <c r="AG34" s="70">
        <v>0</v>
      </c>
      <c r="AH34" s="70">
        <v>0</v>
      </c>
      <c r="AI34" s="70">
        <v>0</v>
      </c>
      <c r="AJ34" s="72" t="s">
        <v>930</v>
      </c>
    </row>
    <row r="35" spans="1:36" customFormat="1" x14ac:dyDescent="0.25">
      <c r="A35" s="68">
        <v>29</v>
      </c>
      <c r="B35" s="69" t="s">
        <v>275</v>
      </c>
      <c r="C35" s="69" t="s">
        <v>998</v>
      </c>
      <c r="D35" s="69" t="s">
        <v>410</v>
      </c>
      <c r="E35" s="69" t="s">
        <v>392</v>
      </c>
      <c r="F35" s="69" t="s">
        <v>409</v>
      </c>
      <c r="G35" s="69" t="s">
        <v>237</v>
      </c>
      <c r="H35" s="70">
        <v>0</v>
      </c>
      <c r="I35" s="70">
        <v>0</v>
      </c>
      <c r="J35" s="70">
        <v>0</v>
      </c>
      <c r="K35" s="70">
        <v>0</v>
      </c>
      <c r="L35" s="71">
        <v>0</v>
      </c>
      <c r="M35" s="71">
        <v>0</v>
      </c>
      <c r="N35" s="71">
        <v>0</v>
      </c>
      <c r="O35" s="71">
        <v>0</v>
      </c>
      <c r="P35" s="70">
        <v>0</v>
      </c>
      <c r="Q35" s="70">
        <v>0</v>
      </c>
      <c r="R35" s="70">
        <v>0</v>
      </c>
      <c r="S35" s="70">
        <v>0</v>
      </c>
      <c r="T35" s="71">
        <v>0</v>
      </c>
      <c r="U35" s="71">
        <v>0</v>
      </c>
      <c r="V35" s="71">
        <v>0</v>
      </c>
      <c r="W35" s="71">
        <v>0</v>
      </c>
      <c r="X35" s="70">
        <v>0</v>
      </c>
      <c r="Y35" s="70">
        <v>0</v>
      </c>
      <c r="Z35" s="70">
        <v>0</v>
      </c>
      <c r="AA35" s="70">
        <v>0</v>
      </c>
      <c r="AB35" s="71">
        <v>0</v>
      </c>
      <c r="AC35" s="71">
        <v>0</v>
      </c>
      <c r="AD35" s="71">
        <v>0</v>
      </c>
      <c r="AE35" s="71">
        <v>0</v>
      </c>
      <c r="AF35" s="70">
        <v>0</v>
      </c>
      <c r="AG35" s="70">
        <v>0</v>
      </c>
      <c r="AH35" s="70">
        <v>0</v>
      </c>
      <c r="AI35" s="70">
        <v>0</v>
      </c>
      <c r="AJ35" s="72" t="s">
        <v>930</v>
      </c>
    </row>
    <row r="36" spans="1:36" customFormat="1" x14ac:dyDescent="0.25">
      <c r="A36" s="68">
        <v>30</v>
      </c>
      <c r="B36" s="69" t="s">
        <v>275</v>
      </c>
      <c r="C36" s="69" t="s">
        <v>998</v>
      </c>
      <c r="D36" s="69" t="s">
        <v>411</v>
      </c>
      <c r="E36" s="69" t="s">
        <v>259</v>
      </c>
      <c r="F36" s="69" t="s">
        <v>409</v>
      </c>
      <c r="G36" s="69" t="s">
        <v>237</v>
      </c>
      <c r="H36" s="70">
        <v>0.5344285644918505</v>
      </c>
      <c r="I36" s="70">
        <v>0</v>
      </c>
      <c r="J36" s="70">
        <v>2.4448308270676695</v>
      </c>
      <c r="K36" s="70">
        <v>0.27534579078833371</v>
      </c>
      <c r="L36" s="71">
        <v>0</v>
      </c>
      <c r="M36" s="71">
        <v>0</v>
      </c>
      <c r="N36" s="71">
        <v>0</v>
      </c>
      <c r="O36" s="71">
        <v>0</v>
      </c>
      <c r="P36" s="70">
        <v>0.5344285644918505</v>
      </c>
      <c r="Q36" s="70">
        <v>0</v>
      </c>
      <c r="R36" s="70">
        <v>2.4448308270676695</v>
      </c>
      <c r="S36" s="70">
        <v>0.27534579078833371</v>
      </c>
      <c r="T36" s="71">
        <v>0.5344285644918505</v>
      </c>
      <c r="U36" s="71">
        <v>0</v>
      </c>
      <c r="V36" s="71">
        <v>2.4448308270676695</v>
      </c>
      <c r="W36" s="71">
        <v>0.27534579078833371</v>
      </c>
      <c r="X36" s="70">
        <v>0</v>
      </c>
      <c r="Y36" s="70">
        <v>0</v>
      </c>
      <c r="Z36" s="70">
        <v>0</v>
      </c>
      <c r="AA36" s="70">
        <v>0</v>
      </c>
      <c r="AB36" s="71">
        <v>0.63778195488721812</v>
      </c>
      <c r="AC36" s="71">
        <v>0</v>
      </c>
      <c r="AD36" s="71">
        <v>2.4448308270676695</v>
      </c>
      <c r="AE36" s="71">
        <v>0.26803858948357739</v>
      </c>
      <c r="AF36" s="70">
        <v>0</v>
      </c>
      <c r="AG36" s="70">
        <v>0</v>
      </c>
      <c r="AH36" s="70">
        <v>0</v>
      </c>
      <c r="AI36" s="70">
        <v>0</v>
      </c>
      <c r="AJ36" s="72" t="s">
        <v>930</v>
      </c>
    </row>
    <row r="37" spans="1:36" customFormat="1" x14ac:dyDescent="0.25">
      <c r="A37" s="68">
        <v>31</v>
      </c>
      <c r="B37" s="69" t="s">
        <v>254</v>
      </c>
      <c r="C37" s="69" t="s">
        <v>1022</v>
      </c>
      <c r="D37" s="69" t="s">
        <v>412</v>
      </c>
      <c r="E37" s="69" t="s">
        <v>413</v>
      </c>
      <c r="F37" s="69" t="s">
        <v>263</v>
      </c>
      <c r="G37" s="69" t="s">
        <v>237</v>
      </c>
      <c r="H37" s="70">
        <v>0</v>
      </c>
      <c r="I37" s="70">
        <v>0</v>
      </c>
      <c r="J37" s="70">
        <v>0</v>
      </c>
      <c r="K37" s="70">
        <v>0</v>
      </c>
      <c r="L37" s="71">
        <v>0.93416757344940149</v>
      </c>
      <c r="M37" s="71">
        <v>0.3</v>
      </c>
      <c r="N37" s="71">
        <v>3</v>
      </c>
      <c r="O37" s="71">
        <v>0.33221755905007316</v>
      </c>
      <c r="P37" s="70">
        <v>0</v>
      </c>
      <c r="Q37" s="70">
        <v>0</v>
      </c>
      <c r="R37" s="70">
        <v>0</v>
      </c>
      <c r="S37" s="70">
        <v>0</v>
      </c>
      <c r="T37" s="71">
        <v>0</v>
      </c>
      <c r="U37" s="71">
        <v>0</v>
      </c>
      <c r="V37" s="71">
        <v>0</v>
      </c>
      <c r="W37" s="71">
        <v>0</v>
      </c>
      <c r="X37" s="70">
        <v>0</v>
      </c>
      <c r="Y37" s="70">
        <v>0.3</v>
      </c>
      <c r="Z37" s="70">
        <v>3</v>
      </c>
      <c r="AA37" s="70">
        <v>0.45499999999999996</v>
      </c>
      <c r="AB37" s="71">
        <v>0</v>
      </c>
      <c r="AC37" s="71">
        <v>0</v>
      </c>
      <c r="AD37" s="71">
        <v>0</v>
      </c>
      <c r="AE37" s="71">
        <v>0</v>
      </c>
      <c r="AF37" s="70">
        <v>0</v>
      </c>
      <c r="AG37" s="70">
        <v>0</v>
      </c>
      <c r="AH37" s="70">
        <v>0</v>
      </c>
      <c r="AI37" s="70">
        <v>0</v>
      </c>
      <c r="AJ37" s="72" t="s">
        <v>931</v>
      </c>
    </row>
    <row r="38" spans="1:36" customFormat="1" x14ac:dyDescent="0.25">
      <c r="A38" s="68">
        <v>32</v>
      </c>
      <c r="B38" s="69" t="s">
        <v>254</v>
      </c>
      <c r="C38" s="69" t="s">
        <v>1022</v>
      </c>
      <c r="D38" s="69" t="s">
        <v>414</v>
      </c>
      <c r="E38" s="69" t="s">
        <v>256</v>
      </c>
      <c r="F38" s="69" t="s">
        <v>263</v>
      </c>
      <c r="G38" s="69" t="s">
        <v>237</v>
      </c>
      <c r="H38" s="70">
        <v>0</v>
      </c>
      <c r="I38" s="70">
        <v>0</v>
      </c>
      <c r="J38" s="70">
        <v>0</v>
      </c>
      <c r="K38" s="70">
        <v>0</v>
      </c>
      <c r="L38" s="71">
        <v>19.060391730141458</v>
      </c>
      <c r="M38" s="71">
        <v>6.2442872687704103</v>
      </c>
      <c r="N38" s="71">
        <v>31.876496191512523</v>
      </c>
      <c r="O38" s="71">
        <v>27.375422260795858</v>
      </c>
      <c r="P38" s="70">
        <v>0</v>
      </c>
      <c r="Q38" s="70">
        <v>0</v>
      </c>
      <c r="R38" s="70">
        <v>0</v>
      </c>
      <c r="S38" s="70">
        <v>0</v>
      </c>
      <c r="T38" s="71">
        <v>0</v>
      </c>
      <c r="U38" s="71">
        <v>0</v>
      </c>
      <c r="V38" s="71">
        <v>0</v>
      </c>
      <c r="W38" s="71">
        <v>0</v>
      </c>
      <c r="X38" s="70">
        <v>0</v>
      </c>
      <c r="Y38" s="70">
        <v>14.480000000000004</v>
      </c>
      <c r="Z38" s="70">
        <v>36.319999999999993</v>
      </c>
      <c r="AA38" s="70">
        <v>55.716622222222199</v>
      </c>
      <c r="AB38" s="71">
        <v>0</v>
      </c>
      <c r="AC38" s="71">
        <v>0</v>
      </c>
      <c r="AD38" s="71">
        <v>0</v>
      </c>
      <c r="AE38" s="71">
        <v>0</v>
      </c>
      <c r="AF38" s="70">
        <v>0</v>
      </c>
      <c r="AG38" s="70">
        <v>0</v>
      </c>
      <c r="AH38" s="70">
        <v>0</v>
      </c>
      <c r="AI38" s="70">
        <v>0</v>
      </c>
      <c r="AJ38" s="72" t="s">
        <v>931</v>
      </c>
    </row>
    <row r="39" spans="1:36" customFormat="1" x14ac:dyDescent="0.25">
      <c r="A39" s="68">
        <v>33</v>
      </c>
      <c r="B39" s="69" t="s">
        <v>254</v>
      </c>
      <c r="C39" s="69" t="s">
        <v>1022</v>
      </c>
      <c r="D39" s="69" t="s">
        <v>261</v>
      </c>
      <c r="E39" s="69" t="s">
        <v>262</v>
      </c>
      <c r="F39" s="69" t="s">
        <v>263</v>
      </c>
      <c r="G39" s="69" t="s">
        <v>237</v>
      </c>
      <c r="H39" s="70">
        <v>0</v>
      </c>
      <c r="I39" s="70">
        <v>0</v>
      </c>
      <c r="J39" s="70">
        <v>0</v>
      </c>
      <c r="K39" s="70">
        <v>0</v>
      </c>
      <c r="L39" s="71">
        <v>0.93416757344940149</v>
      </c>
      <c r="M39" s="71">
        <v>0.3</v>
      </c>
      <c r="N39" s="71">
        <v>3</v>
      </c>
      <c r="O39" s="71">
        <v>0.33221755905007316</v>
      </c>
      <c r="P39" s="70">
        <v>0</v>
      </c>
      <c r="Q39" s="70">
        <v>0</v>
      </c>
      <c r="R39" s="70">
        <v>0</v>
      </c>
      <c r="S39" s="70">
        <v>0</v>
      </c>
      <c r="T39" s="71">
        <v>0</v>
      </c>
      <c r="U39" s="71">
        <v>0</v>
      </c>
      <c r="V39" s="71">
        <v>0</v>
      </c>
      <c r="W39" s="71">
        <v>0</v>
      </c>
      <c r="X39" s="70">
        <v>0</v>
      </c>
      <c r="Y39" s="70">
        <v>0.3</v>
      </c>
      <c r="Z39" s="70">
        <v>3</v>
      </c>
      <c r="AA39" s="70">
        <v>0.45499999999999996</v>
      </c>
      <c r="AB39" s="71">
        <v>0</v>
      </c>
      <c r="AC39" s="71">
        <v>0</v>
      </c>
      <c r="AD39" s="71">
        <v>0</v>
      </c>
      <c r="AE39" s="71">
        <v>0</v>
      </c>
      <c r="AF39" s="70">
        <v>0</v>
      </c>
      <c r="AG39" s="70">
        <v>0</v>
      </c>
      <c r="AH39" s="70">
        <v>0</v>
      </c>
      <c r="AI39" s="70">
        <v>0</v>
      </c>
      <c r="AJ39" s="72" t="s">
        <v>931</v>
      </c>
    </row>
    <row r="40" spans="1:36" customFormat="1" x14ac:dyDescent="0.25">
      <c r="A40" s="68">
        <v>34</v>
      </c>
      <c r="B40" s="69" t="s">
        <v>254</v>
      </c>
      <c r="C40" s="69" t="s">
        <v>1022</v>
      </c>
      <c r="D40" s="69" t="s">
        <v>415</v>
      </c>
      <c r="E40" s="69" t="s">
        <v>259</v>
      </c>
      <c r="F40" s="69" t="s">
        <v>263</v>
      </c>
      <c r="G40" s="69" t="s">
        <v>237</v>
      </c>
      <c r="H40" s="70">
        <v>0</v>
      </c>
      <c r="I40" s="70">
        <v>0</v>
      </c>
      <c r="J40" s="70">
        <v>0</v>
      </c>
      <c r="K40" s="70">
        <v>0</v>
      </c>
      <c r="L40" s="71">
        <v>0.93416757344940149</v>
      </c>
      <c r="M40" s="71">
        <v>0.3</v>
      </c>
      <c r="N40" s="71">
        <v>3</v>
      </c>
      <c r="O40" s="71">
        <v>0.33221755905007316</v>
      </c>
      <c r="P40" s="70">
        <v>0</v>
      </c>
      <c r="Q40" s="70">
        <v>0</v>
      </c>
      <c r="R40" s="70">
        <v>0</v>
      </c>
      <c r="S40" s="70">
        <v>0</v>
      </c>
      <c r="T40" s="71">
        <v>0</v>
      </c>
      <c r="U40" s="71">
        <v>0</v>
      </c>
      <c r="V40" s="71">
        <v>0</v>
      </c>
      <c r="W40" s="71">
        <v>0</v>
      </c>
      <c r="X40" s="70">
        <v>0</v>
      </c>
      <c r="Y40" s="70">
        <v>0.3</v>
      </c>
      <c r="Z40" s="70">
        <v>3</v>
      </c>
      <c r="AA40" s="70">
        <v>0.45499999999999996</v>
      </c>
      <c r="AB40" s="71">
        <v>0</v>
      </c>
      <c r="AC40" s="71">
        <v>0</v>
      </c>
      <c r="AD40" s="71">
        <v>0</v>
      </c>
      <c r="AE40" s="71">
        <v>0</v>
      </c>
      <c r="AF40" s="70">
        <v>0</v>
      </c>
      <c r="AG40" s="70">
        <v>0</v>
      </c>
      <c r="AH40" s="70">
        <v>0</v>
      </c>
      <c r="AI40" s="70">
        <v>0</v>
      </c>
      <c r="AJ40" s="72" t="s">
        <v>931</v>
      </c>
    </row>
    <row r="41" spans="1:36" customFormat="1" x14ac:dyDescent="0.25">
      <c r="A41" s="68">
        <v>35</v>
      </c>
      <c r="B41" s="69" t="s">
        <v>254</v>
      </c>
      <c r="C41" s="69" t="s">
        <v>1022</v>
      </c>
      <c r="D41" s="69" t="s">
        <v>416</v>
      </c>
      <c r="E41" s="69" t="s">
        <v>417</v>
      </c>
      <c r="F41" s="69" t="s">
        <v>263</v>
      </c>
      <c r="G41" s="69" t="s">
        <v>237</v>
      </c>
      <c r="H41" s="70">
        <v>0</v>
      </c>
      <c r="I41" s="70">
        <v>0</v>
      </c>
      <c r="J41" s="70">
        <v>0</v>
      </c>
      <c r="K41" s="70">
        <v>0</v>
      </c>
      <c r="L41" s="71">
        <v>6.5832426550598466</v>
      </c>
      <c r="M41" s="71">
        <v>5.2665941240478773</v>
      </c>
      <c r="N41" s="71">
        <v>7.899891186071816</v>
      </c>
      <c r="O41" s="71">
        <v>0.28892722570266349</v>
      </c>
      <c r="P41" s="70">
        <v>0</v>
      </c>
      <c r="Q41" s="70">
        <v>0</v>
      </c>
      <c r="R41" s="70">
        <v>0</v>
      </c>
      <c r="S41" s="70">
        <v>0</v>
      </c>
      <c r="T41" s="71">
        <v>0</v>
      </c>
      <c r="U41" s="71">
        <v>0</v>
      </c>
      <c r="V41" s="71">
        <v>0</v>
      </c>
      <c r="W41" s="71">
        <v>0</v>
      </c>
      <c r="X41" s="70">
        <v>0</v>
      </c>
      <c r="Y41" s="70">
        <v>7.2</v>
      </c>
      <c r="Z41" s="70">
        <v>10.799999999999999</v>
      </c>
      <c r="AA41" s="70">
        <v>5.0399999999999983</v>
      </c>
      <c r="AB41" s="71">
        <v>0</v>
      </c>
      <c r="AC41" s="71">
        <v>0</v>
      </c>
      <c r="AD41" s="71">
        <v>0</v>
      </c>
      <c r="AE41" s="71">
        <v>0</v>
      </c>
      <c r="AF41" s="70">
        <v>0</v>
      </c>
      <c r="AG41" s="70">
        <v>0</v>
      </c>
      <c r="AH41" s="70">
        <v>0</v>
      </c>
      <c r="AI41" s="70">
        <v>0</v>
      </c>
      <c r="AJ41" s="72" t="s">
        <v>931</v>
      </c>
    </row>
    <row r="42" spans="1:36" customFormat="1" x14ac:dyDescent="0.25">
      <c r="A42" s="68">
        <v>36</v>
      </c>
      <c r="B42" s="69" t="s">
        <v>254</v>
      </c>
      <c r="C42" s="69" t="s">
        <v>1022</v>
      </c>
      <c r="D42" s="69" t="s">
        <v>418</v>
      </c>
      <c r="E42" s="69" t="s">
        <v>419</v>
      </c>
      <c r="F42" s="69" t="s">
        <v>263</v>
      </c>
      <c r="G42" s="69" t="s">
        <v>237</v>
      </c>
      <c r="H42" s="70">
        <v>0</v>
      </c>
      <c r="I42" s="70">
        <v>0</v>
      </c>
      <c r="J42" s="70">
        <v>0</v>
      </c>
      <c r="K42" s="70">
        <v>0</v>
      </c>
      <c r="L42" s="71">
        <v>64.080522306855272</v>
      </c>
      <c r="M42" s="71">
        <v>51.264417845484218</v>
      </c>
      <c r="N42" s="71">
        <v>76.896626768226326</v>
      </c>
      <c r="O42" s="71">
        <v>27.375422260795805</v>
      </c>
      <c r="P42" s="70">
        <v>0</v>
      </c>
      <c r="Q42" s="70">
        <v>0</v>
      </c>
      <c r="R42" s="70">
        <v>0</v>
      </c>
      <c r="S42" s="70">
        <v>0</v>
      </c>
      <c r="T42" s="71">
        <v>0</v>
      </c>
      <c r="U42" s="71">
        <v>0</v>
      </c>
      <c r="V42" s="71">
        <v>0</v>
      </c>
      <c r="W42" s="71">
        <v>0</v>
      </c>
      <c r="X42" s="70">
        <v>0</v>
      </c>
      <c r="Y42" s="70">
        <v>43.680000000000007</v>
      </c>
      <c r="Z42" s="70">
        <v>65.52</v>
      </c>
      <c r="AA42" s="70">
        <v>185.49440000000001</v>
      </c>
      <c r="AB42" s="71">
        <v>0</v>
      </c>
      <c r="AC42" s="71">
        <v>0</v>
      </c>
      <c r="AD42" s="71">
        <v>0</v>
      </c>
      <c r="AE42" s="71">
        <v>0</v>
      </c>
      <c r="AF42" s="70">
        <v>0</v>
      </c>
      <c r="AG42" s="70">
        <v>0</v>
      </c>
      <c r="AH42" s="70">
        <v>0</v>
      </c>
      <c r="AI42" s="70">
        <v>0</v>
      </c>
      <c r="AJ42" s="72" t="s">
        <v>931</v>
      </c>
    </row>
    <row r="43" spans="1:36" customFormat="1" x14ac:dyDescent="0.25">
      <c r="A43" s="68">
        <v>37</v>
      </c>
      <c r="B43" s="69" t="s">
        <v>254</v>
      </c>
      <c r="C43" s="69" t="s">
        <v>1022</v>
      </c>
      <c r="D43" s="69" t="s">
        <v>420</v>
      </c>
      <c r="E43" s="69" t="s">
        <v>421</v>
      </c>
      <c r="F43" s="69" t="s">
        <v>263</v>
      </c>
      <c r="G43" s="69" t="s">
        <v>237</v>
      </c>
      <c r="H43" s="70">
        <v>0</v>
      </c>
      <c r="I43" s="70">
        <v>0</v>
      </c>
      <c r="J43" s="70">
        <v>0</v>
      </c>
      <c r="K43" s="70">
        <v>0</v>
      </c>
      <c r="L43" s="71">
        <v>7.4733405875952119</v>
      </c>
      <c r="M43" s="71">
        <v>5.9786724700761695</v>
      </c>
      <c r="N43" s="71">
        <v>8.9680087051142543</v>
      </c>
      <c r="O43" s="71">
        <v>0.37233879692132077</v>
      </c>
      <c r="P43" s="70">
        <v>0</v>
      </c>
      <c r="Q43" s="70">
        <v>0</v>
      </c>
      <c r="R43" s="70">
        <v>0</v>
      </c>
      <c r="S43" s="70">
        <v>0</v>
      </c>
      <c r="T43" s="71">
        <v>0</v>
      </c>
      <c r="U43" s="71">
        <v>0</v>
      </c>
      <c r="V43" s="71">
        <v>0</v>
      </c>
      <c r="W43" s="71">
        <v>0</v>
      </c>
      <c r="X43" s="70">
        <v>0</v>
      </c>
      <c r="Y43" s="70">
        <v>6.4</v>
      </c>
      <c r="Z43" s="70">
        <v>7.68</v>
      </c>
      <c r="AA43" s="70">
        <v>2.8216888888888891</v>
      </c>
      <c r="AB43" s="71">
        <v>0</v>
      </c>
      <c r="AC43" s="71">
        <v>0</v>
      </c>
      <c r="AD43" s="71">
        <v>0</v>
      </c>
      <c r="AE43" s="71">
        <v>0</v>
      </c>
      <c r="AF43" s="70">
        <v>0</v>
      </c>
      <c r="AG43" s="70">
        <v>0</v>
      </c>
      <c r="AH43" s="70">
        <v>0</v>
      </c>
      <c r="AI43" s="70">
        <v>0</v>
      </c>
      <c r="AJ43" s="72" t="s">
        <v>931</v>
      </c>
    </row>
    <row r="44" spans="1:36" customFormat="1" x14ac:dyDescent="0.25">
      <c r="A44" s="68">
        <v>38</v>
      </c>
      <c r="B44" s="69" t="s">
        <v>254</v>
      </c>
      <c r="C44" s="69" t="s">
        <v>1022</v>
      </c>
      <c r="D44" s="69" t="s">
        <v>422</v>
      </c>
      <c r="E44" s="69" t="s">
        <v>423</v>
      </c>
      <c r="F44" s="69" t="s">
        <v>266</v>
      </c>
      <c r="G44" s="69" t="s">
        <v>237</v>
      </c>
      <c r="H44" s="70">
        <v>0</v>
      </c>
      <c r="I44" s="70">
        <v>0</v>
      </c>
      <c r="J44" s="70">
        <v>0</v>
      </c>
      <c r="K44" s="70">
        <v>0</v>
      </c>
      <c r="L44" s="71">
        <v>25.46115048348106</v>
      </c>
      <c r="M44" s="71">
        <v>25.46115048348106</v>
      </c>
      <c r="N44" s="71">
        <v>25.46115048348106</v>
      </c>
      <c r="O44" s="71">
        <v>0</v>
      </c>
      <c r="P44" s="70">
        <v>0</v>
      </c>
      <c r="Q44" s="70">
        <v>0</v>
      </c>
      <c r="R44" s="70">
        <v>0</v>
      </c>
      <c r="S44" s="70">
        <v>0</v>
      </c>
      <c r="T44" s="71">
        <v>0</v>
      </c>
      <c r="U44" s="71">
        <v>0</v>
      </c>
      <c r="V44" s="71">
        <v>0</v>
      </c>
      <c r="W44" s="71">
        <v>0</v>
      </c>
      <c r="X44" s="70">
        <v>0</v>
      </c>
      <c r="Y44" s="70">
        <v>27</v>
      </c>
      <c r="Z44" s="70">
        <v>45</v>
      </c>
      <c r="AA44" s="70">
        <v>85.5</v>
      </c>
      <c r="AB44" s="71">
        <v>0</v>
      </c>
      <c r="AC44" s="71">
        <v>0</v>
      </c>
      <c r="AD44" s="71">
        <v>0</v>
      </c>
      <c r="AE44" s="71">
        <v>0</v>
      </c>
      <c r="AF44" s="70">
        <v>0</v>
      </c>
      <c r="AG44" s="70">
        <v>0</v>
      </c>
      <c r="AH44" s="70">
        <v>0</v>
      </c>
      <c r="AI44" s="70">
        <v>0</v>
      </c>
      <c r="AJ44" s="72" t="s">
        <v>931</v>
      </c>
    </row>
    <row r="45" spans="1:36" customFormat="1" x14ac:dyDescent="0.25">
      <c r="A45" s="68">
        <v>39</v>
      </c>
      <c r="B45" s="69" t="s">
        <v>254</v>
      </c>
      <c r="C45" s="69" t="s">
        <v>1022</v>
      </c>
      <c r="D45" s="69" t="s">
        <v>264</v>
      </c>
      <c r="E45" s="69" t="s">
        <v>265</v>
      </c>
      <c r="F45" s="69" t="s">
        <v>266</v>
      </c>
      <c r="G45" s="69" t="s">
        <v>237</v>
      </c>
      <c r="H45" s="70">
        <v>0</v>
      </c>
      <c r="I45" s="70">
        <v>0</v>
      </c>
      <c r="J45" s="70">
        <v>0</v>
      </c>
      <c r="K45" s="70">
        <v>0</v>
      </c>
      <c r="L45" s="71">
        <v>4</v>
      </c>
      <c r="M45" s="71">
        <v>3.2</v>
      </c>
      <c r="N45" s="71">
        <v>4.8</v>
      </c>
      <c r="O45" s="71">
        <v>0.10666666666666676</v>
      </c>
      <c r="P45" s="70">
        <v>0</v>
      </c>
      <c r="Q45" s="70">
        <v>0</v>
      </c>
      <c r="R45" s="70">
        <v>0</v>
      </c>
      <c r="S45" s="70">
        <v>0</v>
      </c>
      <c r="T45" s="71">
        <v>0</v>
      </c>
      <c r="U45" s="71">
        <v>0</v>
      </c>
      <c r="V45" s="71">
        <v>0</v>
      </c>
      <c r="W45" s="71">
        <v>0</v>
      </c>
      <c r="X45" s="70">
        <v>0</v>
      </c>
      <c r="Y45" s="70">
        <v>3.2</v>
      </c>
      <c r="Z45" s="70">
        <v>4.8</v>
      </c>
      <c r="AA45" s="70">
        <v>0.99555555555555564</v>
      </c>
      <c r="AB45" s="71">
        <v>0</v>
      </c>
      <c r="AC45" s="71">
        <v>0</v>
      </c>
      <c r="AD45" s="71">
        <v>0</v>
      </c>
      <c r="AE45" s="71">
        <v>0</v>
      </c>
      <c r="AF45" s="70">
        <v>0</v>
      </c>
      <c r="AG45" s="70">
        <v>0</v>
      </c>
      <c r="AH45" s="70">
        <v>0</v>
      </c>
      <c r="AI45" s="70">
        <v>0</v>
      </c>
      <c r="AJ45" s="72" t="s">
        <v>931</v>
      </c>
    </row>
    <row r="46" spans="1:36" customFormat="1" x14ac:dyDescent="0.25">
      <c r="A46" s="68">
        <v>40</v>
      </c>
      <c r="B46" s="69" t="s">
        <v>254</v>
      </c>
      <c r="C46" s="69" t="s">
        <v>1022</v>
      </c>
      <c r="D46" s="69" t="s">
        <v>424</v>
      </c>
      <c r="E46" s="69" t="s">
        <v>425</v>
      </c>
      <c r="F46" s="69" t="s">
        <v>266</v>
      </c>
      <c r="G46" s="69" t="s">
        <v>237</v>
      </c>
      <c r="H46" s="70">
        <v>0</v>
      </c>
      <c r="I46" s="70">
        <v>0</v>
      </c>
      <c r="J46" s="70">
        <v>0</v>
      </c>
      <c r="K46" s="70">
        <v>0</v>
      </c>
      <c r="L46" s="71">
        <v>70.538849516518937</v>
      </c>
      <c r="M46" s="71">
        <v>42.538849516518937</v>
      </c>
      <c r="N46" s="71">
        <v>70.538899999999998</v>
      </c>
      <c r="O46" s="71">
        <v>43.555634085556548</v>
      </c>
      <c r="P46" s="70">
        <v>0</v>
      </c>
      <c r="Q46" s="70">
        <v>0</v>
      </c>
      <c r="R46" s="70">
        <v>0</v>
      </c>
      <c r="S46" s="70">
        <v>0</v>
      </c>
      <c r="T46" s="71">
        <v>0</v>
      </c>
      <c r="U46" s="71">
        <v>0</v>
      </c>
      <c r="V46" s="71">
        <v>0</v>
      </c>
      <c r="W46" s="71">
        <v>0</v>
      </c>
      <c r="X46" s="70">
        <v>0</v>
      </c>
      <c r="Y46" s="70">
        <v>3.2</v>
      </c>
      <c r="Z46" s="70">
        <v>4.8</v>
      </c>
      <c r="AA46" s="70">
        <v>0.99555555555555564</v>
      </c>
      <c r="AB46" s="71">
        <v>0</v>
      </c>
      <c r="AC46" s="71">
        <v>0</v>
      </c>
      <c r="AD46" s="71">
        <v>0</v>
      </c>
      <c r="AE46" s="71">
        <v>0</v>
      </c>
      <c r="AF46" s="70">
        <v>0</v>
      </c>
      <c r="AG46" s="70">
        <v>0</v>
      </c>
      <c r="AH46" s="70">
        <v>0</v>
      </c>
      <c r="AI46" s="70">
        <v>0</v>
      </c>
      <c r="AJ46" s="72" t="s">
        <v>931</v>
      </c>
    </row>
    <row r="47" spans="1:36" customFormat="1" x14ac:dyDescent="0.25">
      <c r="A47" s="68">
        <v>41</v>
      </c>
      <c r="B47" s="69" t="s">
        <v>254</v>
      </c>
      <c r="C47" s="69" t="s">
        <v>1022</v>
      </c>
      <c r="D47" s="69" t="s">
        <v>426</v>
      </c>
      <c r="E47" s="69" t="s">
        <v>427</v>
      </c>
      <c r="F47" s="69" t="s">
        <v>266</v>
      </c>
      <c r="G47" s="69" t="s">
        <v>237</v>
      </c>
      <c r="H47" s="70">
        <v>0</v>
      </c>
      <c r="I47" s="70">
        <v>0</v>
      </c>
      <c r="J47" s="70">
        <v>0</v>
      </c>
      <c r="K47" s="70">
        <v>0</v>
      </c>
      <c r="L47" s="71">
        <v>0</v>
      </c>
      <c r="M47" s="71">
        <v>0</v>
      </c>
      <c r="N47" s="71">
        <v>38.538849516518937</v>
      </c>
      <c r="O47" s="71">
        <v>82.513495669827321</v>
      </c>
      <c r="P47" s="70">
        <v>0</v>
      </c>
      <c r="Q47" s="70">
        <v>0</v>
      </c>
      <c r="R47" s="70">
        <v>0</v>
      </c>
      <c r="S47" s="70">
        <v>0</v>
      </c>
      <c r="T47" s="71">
        <v>0</v>
      </c>
      <c r="U47" s="71">
        <v>0</v>
      </c>
      <c r="V47" s="71">
        <v>0</v>
      </c>
      <c r="W47" s="71">
        <v>0</v>
      </c>
      <c r="X47" s="70">
        <v>0</v>
      </c>
      <c r="Y47" s="70">
        <v>47</v>
      </c>
      <c r="Z47" s="70">
        <v>65</v>
      </c>
      <c r="AA47" s="70">
        <v>187.7222222222222</v>
      </c>
      <c r="AB47" s="71">
        <v>0</v>
      </c>
      <c r="AC47" s="71">
        <v>0</v>
      </c>
      <c r="AD47" s="71">
        <v>0</v>
      </c>
      <c r="AE47" s="71">
        <v>0</v>
      </c>
      <c r="AF47" s="70">
        <v>0</v>
      </c>
      <c r="AG47" s="70">
        <v>0</v>
      </c>
      <c r="AH47" s="70">
        <v>0</v>
      </c>
      <c r="AI47" s="70">
        <v>0</v>
      </c>
      <c r="AJ47" s="72" t="s">
        <v>931</v>
      </c>
    </row>
    <row r="48" spans="1:36" customFormat="1" x14ac:dyDescent="0.25">
      <c r="A48" s="68">
        <v>42</v>
      </c>
      <c r="B48" s="69" t="s">
        <v>254</v>
      </c>
      <c r="C48" s="69" t="s">
        <v>1022</v>
      </c>
      <c r="D48" s="69" t="s">
        <v>1026</v>
      </c>
      <c r="E48" s="69" t="s">
        <v>1027</v>
      </c>
      <c r="F48" s="69" t="s">
        <v>1028</v>
      </c>
      <c r="G48" s="69" t="s">
        <v>237</v>
      </c>
      <c r="H48" s="70"/>
      <c r="I48" s="70"/>
      <c r="J48" s="70"/>
      <c r="K48" s="70"/>
      <c r="L48" s="71">
        <v>11</v>
      </c>
      <c r="M48" s="71">
        <v>8.1999999999999993</v>
      </c>
      <c r="N48" s="71">
        <v>13</v>
      </c>
      <c r="O48" s="71">
        <v>0.96888888888889024</v>
      </c>
      <c r="P48" s="70"/>
      <c r="Q48" s="70"/>
      <c r="R48" s="70"/>
      <c r="S48" s="70"/>
      <c r="T48" s="71"/>
      <c r="U48" s="71"/>
      <c r="V48" s="71"/>
      <c r="W48" s="71"/>
      <c r="X48" s="70"/>
      <c r="Y48" s="70"/>
      <c r="Z48" s="70"/>
      <c r="AA48" s="70"/>
      <c r="AB48" s="71"/>
      <c r="AC48" s="71"/>
      <c r="AD48" s="71"/>
      <c r="AE48" s="71"/>
      <c r="AF48" s="70"/>
      <c r="AG48" s="70"/>
      <c r="AH48" s="70"/>
      <c r="AI48" s="70"/>
      <c r="AJ48" s="72" t="s">
        <v>931</v>
      </c>
    </row>
    <row r="49" spans="1:36" customFormat="1" x14ac:dyDescent="0.25">
      <c r="A49" s="68">
        <v>43</v>
      </c>
      <c r="B49" s="69" t="s">
        <v>927</v>
      </c>
      <c r="C49" s="69" t="s">
        <v>1022</v>
      </c>
      <c r="D49" s="69" t="s">
        <v>428</v>
      </c>
      <c r="E49" s="69" t="s">
        <v>429</v>
      </c>
      <c r="F49" s="69" t="s">
        <v>430</v>
      </c>
      <c r="G49" s="69" t="s">
        <v>237</v>
      </c>
      <c r="H49" s="70">
        <v>0</v>
      </c>
      <c r="I49" s="70">
        <v>0</v>
      </c>
      <c r="J49" s="70">
        <v>0</v>
      </c>
      <c r="K49" s="70">
        <v>0</v>
      </c>
      <c r="L49" s="71">
        <v>0.8010065288356909</v>
      </c>
      <c r="M49" s="71">
        <v>0.6408052230685527</v>
      </c>
      <c r="N49" s="71">
        <v>0.9612078346028291</v>
      </c>
      <c r="O49" s="71">
        <v>4.2774097282493474E-3</v>
      </c>
      <c r="P49" s="70">
        <v>0</v>
      </c>
      <c r="Q49" s="70">
        <v>0</v>
      </c>
      <c r="R49" s="70">
        <v>0</v>
      </c>
      <c r="S49" s="70">
        <v>0</v>
      </c>
      <c r="T49" s="71">
        <v>0</v>
      </c>
      <c r="U49" s="71">
        <v>0</v>
      </c>
      <c r="V49" s="71">
        <v>0</v>
      </c>
      <c r="W49" s="71">
        <v>0</v>
      </c>
      <c r="X49" s="70">
        <v>0</v>
      </c>
      <c r="Y49" s="70">
        <v>0.43680000000000008</v>
      </c>
      <c r="Z49" s="70">
        <v>0.6552</v>
      </c>
      <c r="AA49" s="70">
        <v>1.854944E-2</v>
      </c>
      <c r="AB49" s="71">
        <v>0</v>
      </c>
      <c r="AC49" s="71">
        <v>0</v>
      </c>
      <c r="AD49" s="71">
        <v>0</v>
      </c>
      <c r="AE49" s="71">
        <v>0</v>
      </c>
      <c r="AF49" s="70">
        <v>0</v>
      </c>
      <c r="AG49" s="70">
        <v>0</v>
      </c>
      <c r="AH49" s="70">
        <v>0</v>
      </c>
      <c r="AI49" s="70">
        <v>0</v>
      </c>
      <c r="AJ49" s="72" t="s">
        <v>931</v>
      </c>
    </row>
    <row r="50" spans="1:36" customFormat="1" x14ac:dyDescent="0.25">
      <c r="A50" s="68">
        <v>44</v>
      </c>
      <c r="B50" s="69" t="s">
        <v>927</v>
      </c>
      <c r="C50" s="69" t="s">
        <v>1022</v>
      </c>
      <c r="D50" s="69" t="s">
        <v>431</v>
      </c>
      <c r="E50" s="69" t="s">
        <v>432</v>
      </c>
      <c r="F50" s="69" t="s">
        <v>433</v>
      </c>
      <c r="G50" s="69" t="s">
        <v>237</v>
      </c>
      <c r="H50" s="70">
        <v>0</v>
      </c>
      <c r="I50" s="70">
        <v>0</v>
      </c>
      <c r="J50" s="70">
        <v>0</v>
      </c>
      <c r="K50" s="70">
        <v>0</v>
      </c>
      <c r="L50" s="71">
        <v>0.28290167203867844</v>
      </c>
      <c r="M50" s="71">
        <v>0.28290167203867844</v>
      </c>
      <c r="N50" s="71">
        <v>0.28290167203867844</v>
      </c>
      <c r="O50" s="71">
        <v>1.5419764230904951E-18</v>
      </c>
      <c r="P50" s="70">
        <v>0</v>
      </c>
      <c r="Q50" s="70">
        <v>0</v>
      </c>
      <c r="R50" s="70">
        <v>0</v>
      </c>
      <c r="S50" s="70">
        <v>0</v>
      </c>
      <c r="T50" s="71">
        <v>0</v>
      </c>
      <c r="U50" s="71">
        <v>0</v>
      </c>
      <c r="V50" s="71">
        <v>0</v>
      </c>
      <c r="W50" s="71">
        <v>0</v>
      </c>
      <c r="X50" s="70">
        <v>0</v>
      </c>
      <c r="Y50" s="70">
        <v>0.3</v>
      </c>
      <c r="Z50" s="70">
        <v>0.5</v>
      </c>
      <c r="AA50" s="70">
        <v>1.0555555555555554E-2</v>
      </c>
      <c r="AB50" s="71">
        <v>0</v>
      </c>
      <c r="AC50" s="71">
        <v>0</v>
      </c>
      <c r="AD50" s="71">
        <v>0</v>
      </c>
      <c r="AE50" s="71">
        <v>0</v>
      </c>
      <c r="AF50" s="70">
        <v>0</v>
      </c>
      <c r="AG50" s="70">
        <v>0</v>
      </c>
      <c r="AH50" s="70">
        <v>0</v>
      </c>
      <c r="AI50" s="70">
        <v>0</v>
      </c>
      <c r="AJ50" s="72" t="s">
        <v>931</v>
      </c>
    </row>
    <row r="51" spans="1:36" customFormat="1" x14ac:dyDescent="0.25">
      <c r="A51" s="68">
        <v>45</v>
      </c>
      <c r="B51" s="69" t="s">
        <v>927</v>
      </c>
      <c r="C51" s="69" t="s">
        <v>1022</v>
      </c>
      <c r="D51" s="69" t="s">
        <v>271</v>
      </c>
      <c r="E51" s="69" t="s">
        <v>434</v>
      </c>
      <c r="F51" s="69" t="s">
        <v>435</v>
      </c>
      <c r="G51" s="69" t="s">
        <v>237</v>
      </c>
      <c r="H51" s="70">
        <v>0</v>
      </c>
      <c r="I51" s="70">
        <v>0</v>
      </c>
      <c r="J51" s="70">
        <v>0</v>
      </c>
      <c r="K51" s="70">
        <v>0</v>
      </c>
      <c r="L51" s="71">
        <v>0.69841046652169081</v>
      </c>
      <c r="M51" s="71">
        <v>0.57999999999999996</v>
      </c>
      <c r="N51" s="71">
        <v>0.88</v>
      </c>
      <c r="O51" s="71">
        <v>3.805438812520958E-3</v>
      </c>
      <c r="P51" s="70">
        <v>0</v>
      </c>
      <c r="Q51" s="70">
        <v>0</v>
      </c>
      <c r="R51" s="70">
        <v>0</v>
      </c>
      <c r="S51" s="70">
        <v>0</v>
      </c>
      <c r="T51" s="71">
        <v>0</v>
      </c>
      <c r="U51" s="71">
        <v>0</v>
      </c>
      <c r="V51" s="71">
        <v>0</v>
      </c>
      <c r="W51" s="71">
        <v>0</v>
      </c>
      <c r="X51" s="70">
        <v>0</v>
      </c>
      <c r="Y51" s="70">
        <v>0.57999999999999996</v>
      </c>
      <c r="Z51" s="70">
        <v>0.88</v>
      </c>
      <c r="AA51" s="70">
        <v>3.3355555555555555E-2</v>
      </c>
      <c r="AB51" s="71">
        <v>0</v>
      </c>
      <c r="AC51" s="71">
        <v>0</v>
      </c>
      <c r="AD51" s="71">
        <v>0</v>
      </c>
      <c r="AE51" s="71">
        <v>0</v>
      </c>
      <c r="AF51" s="70">
        <v>0</v>
      </c>
      <c r="AG51" s="70">
        <v>0</v>
      </c>
      <c r="AH51" s="70">
        <v>0</v>
      </c>
      <c r="AI51" s="70">
        <v>0</v>
      </c>
      <c r="AJ51" s="72" t="s">
        <v>931</v>
      </c>
    </row>
    <row r="52" spans="1:36" customFormat="1" x14ac:dyDescent="0.25">
      <c r="A52" s="68">
        <v>46</v>
      </c>
      <c r="B52" s="69" t="s">
        <v>254</v>
      </c>
      <c r="C52" s="69" t="s">
        <v>1023</v>
      </c>
      <c r="D52" s="69" t="s">
        <v>436</v>
      </c>
      <c r="E52" s="69" t="s">
        <v>413</v>
      </c>
      <c r="F52" s="69" t="s">
        <v>437</v>
      </c>
      <c r="G52" s="69" t="s">
        <v>237</v>
      </c>
      <c r="H52" s="70">
        <v>0</v>
      </c>
      <c r="I52" s="70">
        <v>0</v>
      </c>
      <c r="J52" s="70">
        <v>0</v>
      </c>
      <c r="K52" s="70">
        <v>0</v>
      </c>
      <c r="L52" s="71">
        <v>0</v>
      </c>
      <c r="M52" s="71">
        <v>0</v>
      </c>
      <c r="N52" s="71">
        <v>0</v>
      </c>
      <c r="O52" s="71">
        <v>0</v>
      </c>
      <c r="P52" s="70">
        <v>0</v>
      </c>
      <c r="Q52" s="70">
        <v>0</v>
      </c>
      <c r="R52" s="70">
        <v>0</v>
      </c>
      <c r="S52" s="70">
        <v>0</v>
      </c>
      <c r="T52" s="71">
        <v>0</v>
      </c>
      <c r="U52" s="71">
        <v>0</v>
      </c>
      <c r="V52" s="71">
        <v>0</v>
      </c>
      <c r="W52" s="71">
        <v>0</v>
      </c>
      <c r="X52" s="70">
        <v>0</v>
      </c>
      <c r="Y52" s="70">
        <v>0</v>
      </c>
      <c r="Z52" s="70">
        <v>0</v>
      </c>
      <c r="AA52" s="70">
        <v>0</v>
      </c>
      <c r="AB52" s="71">
        <v>0.97800000000000009</v>
      </c>
      <c r="AC52" s="71">
        <v>0.3</v>
      </c>
      <c r="AD52" s="71">
        <v>3</v>
      </c>
      <c r="AE52" s="71">
        <v>0.32883799999999991</v>
      </c>
      <c r="AF52" s="70">
        <v>0</v>
      </c>
      <c r="AG52" s="70">
        <v>0</v>
      </c>
      <c r="AH52" s="70">
        <v>0</v>
      </c>
      <c r="AI52" s="70">
        <v>0</v>
      </c>
      <c r="AJ52" s="72" t="s">
        <v>931</v>
      </c>
    </row>
    <row r="53" spans="1:36" customFormat="1" x14ac:dyDescent="0.25">
      <c r="A53" s="68">
        <v>47</v>
      </c>
      <c r="B53" s="69" t="s">
        <v>254</v>
      </c>
      <c r="C53" s="69" t="s">
        <v>1023</v>
      </c>
      <c r="D53" s="69" t="s">
        <v>438</v>
      </c>
      <c r="E53" s="69" t="s">
        <v>256</v>
      </c>
      <c r="F53" s="69" t="s">
        <v>437</v>
      </c>
      <c r="G53" s="69" t="s">
        <v>237</v>
      </c>
      <c r="H53" s="70">
        <v>0</v>
      </c>
      <c r="I53" s="70">
        <v>0</v>
      </c>
      <c r="J53" s="70">
        <v>0</v>
      </c>
      <c r="K53" s="70">
        <v>0</v>
      </c>
      <c r="L53" s="71">
        <v>0</v>
      </c>
      <c r="M53" s="71">
        <v>0</v>
      </c>
      <c r="N53" s="71">
        <v>0</v>
      </c>
      <c r="O53" s="71">
        <v>0</v>
      </c>
      <c r="P53" s="70">
        <v>0</v>
      </c>
      <c r="Q53" s="70">
        <v>0</v>
      </c>
      <c r="R53" s="70">
        <v>0</v>
      </c>
      <c r="S53" s="70">
        <v>0</v>
      </c>
      <c r="T53" s="71">
        <v>0</v>
      </c>
      <c r="U53" s="71">
        <v>0</v>
      </c>
      <c r="V53" s="71">
        <v>0</v>
      </c>
      <c r="W53" s="71">
        <v>0</v>
      </c>
      <c r="X53" s="70">
        <v>0</v>
      </c>
      <c r="Y53" s="70">
        <v>0</v>
      </c>
      <c r="Z53" s="70">
        <v>0</v>
      </c>
      <c r="AA53" s="70">
        <v>0</v>
      </c>
      <c r="AB53" s="71">
        <v>12.361999999999997</v>
      </c>
      <c r="AC53" s="71">
        <v>0</v>
      </c>
      <c r="AD53" s="71">
        <v>27.297999999999991</v>
      </c>
      <c r="AE53" s="71">
        <v>31.141220666666651</v>
      </c>
      <c r="AF53" s="70">
        <v>0</v>
      </c>
      <c r="AG53" s="70">
        <v>0</v>
      </c>
      <c r="AH53" s="70">
        <v>0</v>
      </c>
      <c r="AI53" s="70">
        <v>0</v>
      </c>
      <c r="AJ53" s="72" t="s">
        <v>931</v>
      </c>
    </row>
    <row r="54" spans="1:36" customFormat="1" x14ac:dyDescent="0.25">
      <c r="A54" s="68">
        <v>48</v>
      </c>
      <c r="B54" s="69" t="s">
        <v>254</v>
      </c>
      <c r="C54" s="69" t="s">
        <v>1023</v>
      </c>
      <c r="D54" s="69" t="s">
        <v>439</v>
      </c>
      <c r="E54" s="69" t="s">
        <v>262</v>
      </c>
      <c r="F54" s="69" t="s">
        <v>437</v>
      </c>
      <c r="G54" s="69" t="s">
        <v>237</v>
      </c>
      <c r="H54" s="70">
        <v>0</v>
      </c>
      <c r="I54" s="70">
        <v>0</v>
      </c>
      <c r="J54" s="70">
        <v>0</v>
      </c>
      <c r="K54" s="70">
        <v>0</v>
      </c>
      <c r="L54" s="71">
        <v>0</v>
      </c>
      <c r="M54" s="71">
        <v>0</v>
      </c>
      <c r="N54" s="71">
        <v>0</v>
      </c>
      <c r="O54" s="71">
        <v>0</v>
      </c>
      <c r="P54" s="70">
        <v>0</v>
      </c>
      <c r="Q54" s="70">
        <v>0</v>
      </c>
      <c r="R54" s="70">
        <v>0</v>
      </c>
      <c r="S54" s="70">
        <v>0</v>
      </c>
      <c r="T54" s="71">
        <v>0</v>
      </c>
      <c r="U54" s="71">
        <v>0</v>
      </c>
      <c r="V54" s="71">
        <v>0</v>
      </c>
      <c r="W54" s="71">
        <v>0</v>
      </c>
      <c r="X54" s="70">
        <v>0</v>
      </c>
      <c r="Y54" s="70">
        <v>0</v>
      </c>
      <c r="Z54" s="70">
        <v>0</v>
      </c>
      <c r="AA54" s="70">
        <v>0</v>
      </c>
      <c r="AB54" s="71">
        <v>0.97800000000000009</v>
      </c>
      <c r="AC54" s="71">
        <v>0.3</v>
      </c>
      <c r="AD54" s="71">
        <v>3</v>
      </c>
      <c r="AE54" s="71">
        <v>0.32883799999999991</v>
      </c>
      <c r="AF54" s="70">
        <v>0</v>
      </c>
      <c r="AG54" s="70">
        <v>0</v>
      </c>
      <c r="AH54" s="70">
        <v>0</v>
      </c>
      <c r="AI54" s="70">
        <v>0</v>
      </c>
      <c r="AJ54" s="72" t="s">
        <v>931</v>
      </c>
    </row>
    <row r="55" spans="1:36" customFormat="1" x14ac:dyDescent="0.25">
      <c r="A55" s="68">
        <v>49</v>
      </c>
      <c r="B55" s="69" t="s">
        <v>254</v>
      </c>
      <c r="C55" s="69" t="s">
        <v>1023</v>
      </c>
      <c r="D55" s="69" t="s">
        <v>440</v>
      </c>
      <c r="E55" s="69" t="s">
        <v>259</v>
      </c>
      <c r="F55" s="69" t="s">
        <v>437</v>
      </c>
      <c r="G55" s="69" t="s">
        <v>237</v>
      </c>
      <c r="H55" s="70">
        <v>0</v>
      </c>
      <c r="I55" s="70">
        <v>0</v>
      </c>
      <c r="J55" s="70">
        <v>0</v>
      </c>
      <c r="K55" s="70">
        <v>0</v>
      </c>
      <c r="L55" s="71">
        <v>0</v>
      </c>
      <c r="M55" s="71">
        <v>0</v>
      </c>
      <c r="N55" s="71">
        <v>0</v>
      </c>
      <c r="O55" s="71">
        <v>0</v>
      </c>
      <c r="P55" s="70">
        <v>0</v>
      </c>
      <c r="Q55" s="70">
        <v>0</v>
      </c>
      <c r="R55" s="70">
        <v>0</v>
      </c>
      <c r="S55" s="70">
        <v>0</v>
      </c>
      <c r="T55" s="71">
        <v>0</v>
      </c>
      <c r="U55" s="71">
        <v>0</v>
      </c>
      <c r="V55" s="71">
        <v>0</v>
      </c>
      <c r="W55" s="71">
        <v>0</v>
      </c>
      <c r="X55" s="70">
        <v>0</v>
      </c>
      <c r="Y55" s="70">
        <v>0</v>
      </c>
      <c r="Z55" s="70">
        <v>0</v>
      </c>
      <c r="AA55" s="70">
        <v>0</v>
      </c>
      <c r="AB55" s="71">
        <v>0.97800000000000009</v>
      </c>
      <c r="AC55" s="71">
        <v>0.3</v>
      </c>
      <c r="AD55" s="71">
        <v>3</v>
      </c>
      <c r="AE55" s="71">
        <v>0.32883799999999991</v>
      </c>
      <c r="AF55" s="70">
        <v>0</v>
      </c>
      <c r="AG55" s="70">
        <v>0</v>
      </c>
      <c r="AH55" s="70">
        <v>0</v>
      </c>
      <c r="AI55" s="70">
        <v>0</v>
      </c>
      <c r="AJ55" s="72" t="s">
        <v>931</v>
      </c>
    </row>
    <row r="56" spans="1:36" customFormat="1" x14ac:dyDescent="0.25">
      <c r="A56" s="68">
        <v>50</v>
      </c>
      <c r="B56" s="69" t="s">
        <v>254</v>
      </c>
      <c r="C56" s="69" t="s">
        <v>1023</v>
      </c>
      <c r="D56" s="69" t="s">
        <v>441</v>
      </c>
      <c r="E56" s="69" t="s">
        <v>417</v>
      </c>
      <c r="F56" s="69" t="s">
        <v>437</v>
      </c>
      <c r="G56" s="69" t="s">
        <v>237</v>
      </c>
      <c r="H56" s="70">
        <v>0</v>
      </c>
      <c r="I56" s="70">
        <v>0</v>
      </c>
      <c r="J56" s="70">
        <v>0</v>
      </c>
      <c r="K56" s="70">
        <v>0</v>
      </c>
      <c r="L56" s="71">
        <v>0</v>
      </c>
      <c r="M56" s="71">
        <v>0</v>
      </c>
      <c r="N56" s="71">
        <v>0</v>
      </c>
      <c r="O56" s="71">
        <v>0</v>
      </c>
      <c r="P56" s="70">
        <v>0</v>
      </c>
      <c r="Q56" s="70">
        <v>0</v>
      </c>
      <c r="R56" s="70">
        <v>0</v>
      </c>
      <c r="S56" s="70">
        <v>0</v>
      </c>
      <c r="T56" s="71">
        <v>0</v>
      </c>
      <c r="U56" s="71">
        <v>0</v>
      </c>
      <c r="V56" s="71">
        <v>0</v>
      </c>
      <c r="W56" s="71">
        <v>0</v>
      </c>
      <c r="X56" s="70">
        <v>0</v>
      </c>
      <c r="Y56" s="70">
        <v>0</v>
      </c>
      <c r="Z56" s="70">
        <v>0</v>
      </c>
      <c r="AA56" s="70">
        <v>0</v>
      </c>
      <c r="AB56" s="71">
        <v>2.1999999999999984</v>
      </c>
      <c r="AC56" s="71">
        <v>0.3</v>
      </c>
      <c r="AD56" s="71">
        <v>3</v>
      </c>
      <c r="AE56" s="71">
        <v>0.32055555555555537</v>
      </c>
      <c r="AF56" s="70">
        <v>0</v>
      </c>
      <c r="AG56" s="70">
        <v>0</v>
      </c>
      <c r="AH56" s="70">
        <v>0</v>
      </c>
      <c r="AI56" s="70">
        <v>0</v>
      </c>
      <c r="AJ56" s="72" t="s">
        <v>931</v>
      </c>
    </row>
    <row r="57" spans="1:36" customFormat="1" x14ac:dyDescent="0.25">
      <c r="A57" s="68">
        <v>51</v>
      </c>
      <c r="B57" s="69" t="s">
        <v>254</v>
      </c>
      <c r="C57" s="69" t="s">
        <v>1023</v>
      </c>
      <c r="D57" s="69" t="s">
        <v>442</v>
      </c>
      <c r="E57" s="69" t="s">
        <v>419</v>
      </c>
      <c r="F57" s="69" t="s">
        <v>437</v>
      </c>
      <c r="G57" s="69" t="s">
        <v>237</v>
      </c>
      <c r="H57" s="70">
        <v>0</v>
      </c>
      <c r="I57" s="70">
        <v>0</v>
      </c>
      <c r="J57" s="70">
        <v>0</v>
      </c>
      <c r="K57" s="70">
        <v>0</v>
      </c>
      <c r="L57" s="71">
        <v>0</v>
      </c>
      <c r="M57" s="71">
        <v>0</v>
      </c>
      <c r="N57" s="71">
        <v>0</v>
      </c>
      <c r="O57" s="71">
        <v>0</v>
      </c>
      <c r="P57" s="70">
        <v>0</v>
      </c>
      <c r="Q57" s="70">
        <v>0</v>
      </c>
      <c r="R57" s="70">
        <v>0</v>
      </c>
      <c r="S57" s="70">
        <v>0</v>
      </c>
      <c r="T57" s="71">
        <v>0</v>
      </c>
      <c r="U57" s="71">
        <v>0</v>
      </c>
      <c r="V57" s="71">
        <v>0</v>
      </c>
      <c r="W57" s="71">
        <v>0</v>
      </c>
      <c r="X57" s="70">
        <v>0</v>
      </c>
      <c r="Y57" s="70">
        <v>0</v>
      </c>
      <c r="Z57" s="70">
        <v>0</v>
      </c>
      <c r="AA57" s="70">
        <v>0</v>
      </c>
      <c r="AB57" s="71">
        <v>74.680000000000007</v>
      </c>
      <c r="AC57" s="71">
        <v>59.744000000000007</v>
      </c>
      <c r="AD57" s="71">
        <v>89.616</v>
      </c>
      <c r="AE57" s="71">
        <v>37.180682666666549</v>
      </c>
      <c r="AF57" s="70">
        <v>0</v>
      </c>
      <c r="AG57" s="70">
        <v>0</v>
      </c>
      <c r="AH57" s="70">
        <v>0</v>
      </c>
      <c r="AI57" s="70">
        <v>0</v>
      </c>
      <c r="AJ57" s="72" t="s">
        <v>931</v>
      </c>
    </row>
    <row r="58" spans="1:36" customFormat="1" x14ac:dyDescent="0.25">
      <c r="A58" s="68">
        <v>52</v>
      </c>
      <c r="B58" s="69" t="s">
        <v>254</v>
      </c>
      <c r="C58" s="69" t="s">
        <v>1023</v>
      </c>
      <c r="D58" s="69" t="s">
        <v>443</v>
      </c>
      <c r="E58" s="69" t="s">
        <v>421</v>
      </c>
      <c r="F58" s="69" t="s">
        <v>437</v>
      </c>
      <c r="G58" s="69" t="s">
        <v>237</v>
      </c>
      <c r="H58" s="70">
        <v>0</v>
      </c>
      <c r="I58" s="70">
        <v>0</v>
      </c>
      <c r="J58" s="70">
        <v>0</v>
      </c>
      <c r="K58" s="70">
        <v>0</v>
      </c>
      <c r="L58" s="71">
        <v>0</v>
      </c>
      <c r="M58" s="71">
        <v>0</v>
      </c>
      <c r="N58" s="71">
        <v>0</v>
      </c>
      <c r="O58" s="71">
        <v>0</v>
      </c>
      <c r="P58" s="70">
        <v>0</v>
      </c>
      <c r="Q58" s="70">
        <v>0</v>
      </c>
      <c r="R58" s="70">
        <v>0</v>
      </c>
      <c r="S58" s="70">
        <v>0</v>
      </c>
      <c r="T58" s="71">
        <v>0</v>
      </c>
      <c r="U58" s="71">
        <v>0</v>
      </c>
      <c r="V58" s="71">
        <v>0</v>
      </c>
      <c r="W58" s="71">
        <v>0</v>
      </c>
      <c r="X58" s="70">
        <v>0</v>
      </c>
      <c r="Y58" s="70">
        <v>0</v>
      </c>
      <c r="Z58" s="70">
        <v>0</v>
      </c>
      <c r="AA58" s="70">
        <v>0</v>
      </c>
      <c r="AB58" s="71">
        <v>7.8240000000000007</v>
      </c>
      <c r="AC58" s="71">
        <v>6.2592000000000008</v>
      </c>
      <c r="AD58" s="71">
        <v>9.3887999999999998</v>
      </c>
      <c r="AE58" s="71">
        <v>0.40809984000000077</v>
      </c>
      <c r="AF58" s="70">
        <v>0</v>
      </c>
      <c r="AG58" s="70">
        <v>0</v>
      </c>
      <c r="AH58" s="70">
        <v>0</v>
      </c>
      <c r="AI58" s="70">
        <v>0</v>
      </c>
      <c r="AJ58" s="72" t="s">
        <v>931</v>
      </c>
    </row>
    <row r="59" spans="1:36" customFormat="1" x14ac:dyDescent="0.25">
      <c r="A59" s="68">
        <v>53</v>
      </c>
      <c r="B59" s="69" t="s">
        <v>254</v>
      </c>
      <c r="C59" s="69" t="s">
        <v>1023</v>
      </c>
      <c r="D59" s="69" t="s">
        <v>444</v>
      </c>
      <c r="E59" s="69" t="s">
        <v>423</v>
      </c>
      <c r="F59" s="69" t="s">
        <v>445</v>
      </c>
      <c r="G59" s="69" t="s">
        <v>237</v>
      </c>
      <c r="H59" s="70">
        <v>0</v>
      </c>
      <c r="I59" s="70">
        <v>0</v>
      </c>
      <c r="J59" s="70">
        <v>0</v>
      </c>
      <c r="K59" s="70">
        <v>0</v>
      </c>
      <c r="L59" s="71">
        <v>0</v>
      </c>
      <c r="M59" s="71">
        <v>0</v>
      </c>
      <c r="N59" s="71">
        <v>0</v>
      </c>
      <c r="O59" s="71">
        <v>0</v>
      </c>
      <c r="P59" s="70">
        <v>0</v>
      </c>
      <c r="Q59" s="70">
        <v>0</v>
      </c>
      <c r="R59" s="70">
        <v>0</v>
      </c>
      <c r="S59" s="70">
        <v>0</v>
      </c>
      <c r="T59" s="71">
        <v>0</v>
      </c>
      <c r="U59" s="71">
        <v>0</v>
      </c>
      <c r="V59" s="71">
        <v>0</v>
      </c>
      <c r="W59" s="71">
        <v>0</v>
      </c>
      <c r="X59" s="70">
        <v>0</v>
      </c>
      <c r="Y59" s="70">
        <v>0</v>
      </c>
      <c r="Z59" s="70">
        <v>0</v>
      </c>
      <c r="AA59" s="70">
        <v>0</v>
      </c>
      <c r="AB59" s="71">
        <v>79.676253282833201</v>
      </c>
      <c r="AC59" s="71">
        <v>72.000000000000014</v>
      </c>
      <c r="AD59" s="71">
        <v>79.676253282833201</v>
      </c>
      <c r="AE59" s="71">
        <v>3.2736035812336515</v>
      </c>
      <c r="AF59" s="70">
        <v>0</v>
      </c>
      <c r="AG59" s="70">
        <v>0</v>
      </c>
      <c r="AH59" s="70">
        <v>0</v>
      </c>
      <c r="AI59" s="70">
        <v>0</v>
      </c>
      <c r="AJ59" s="72" t="s">
        <v>931</v>
      </c>
    </row>
    <row r="60" spans="1:36" customFormat="1" x14ac:dyDescent="0.25">
      <c r="A60" s="68">
        <v>54</v>
      </c>
      <c r="B60" s="69" t="s">
        <v>254</v>
      </c>
      <c r="C60" s="69" t="s">
        <v>1023</v>
      </c>
      <c r="D60" s="69" t="s">
        <v>446</v>
      </c>
      <c r="E60" s="69" t="s">
        <v>265</v>
      </c>
      <c r="F60" s="69" t="s">
        <v>445</v>
      </c>
      <c r="G60" s="69" t="s">
        <v>237</v>
      </c>
      <c r="H60" s="70">
        <v>0</v>
      </c>
      <c r="I60" s="70">
        <v>0</v>
      </c>
      <c r="J60" s="70">
        <v>0</v>
      </c>
      <c r="K60" s="70">
        <v>0</v>
      </c>
      <c r="L60" s="71">
        <v>0</v>
      </c>
      <c r="M60" s="71">
        <v>0</v>
      </c>
      <c r="N60" s="71">
        <v>0</v>
      </c>
      <c r="O60" s="71">
        <v>0</v>
      </c>
      <c r="P60" s="70">
        <v>0</v>
      </c>
      <c r="Q60" s="70">
        <v>0</v>
      </c>
      <c r="R60" s="70">
        <v>0</v>
      </c>
      <c r="S60" s="70">
        <v>0</v>
      </c>
      <c r="T60" s="71">
        <v>0</v>
      </c>
      <c r="U60" s="71">
        <v>0</v>
      </c>
      <c r="V60" s="71">
        <v>0</v>
      </c>
      <c r="W60" s="71">
        <v>0</v>
      </c>
      <c r="X60" s="70">
        <v>0</v>
      </c>
      <c r="Y60" s="70">
        <v>0</v>
      </c>
      <c r="Z60" s="70">
        <v>0</v>
      </c>
      <c r="AA60" s="70">
        <v>0</v>
      </c>
      <c r="AB60" s="71">
        <v>4</v>
      </c>
      <c r="AC60" s="71">
        <v>3.2</v>
      </c>
      <c r="AD60" s="71">
        <v>4.8</v>
      </c>
      <c r="AE60" s="71">
        <v>0.10666666666666676</v>
      </c>
      <c r="AF60" s="70">
        <v>0</v>
      </c>
      <c r="AG60" s="70">
        <v>0</v>
      </c>
      <c r="AH60" s="70">
        <v>0</v>
      </c>
      <c r="AI60" s="70">
        <v>0</v>
      </c>
      <c r="AJ60" s="72" t="s">
        <v>931</v>
      </c>
    </row>
    <row r="61" spans="1:36" customFormat="1" x14ac:dyDescent="0.25">
      <c r="A61" s="68">
        <v>55</v>
      </c>
      <c r="B61" s="69" t="s">
        <v>254</v>
      </c>
      <c r="C61" s="69" t="s">
        <v>1023</v>
      </c>
      <c r="D61" s="69" t="s">
        <v>447</v>
      </c>
      <c r="E61" s="69" t="s">
        <v>425</v>
      </c>
      <c r="F61" s="69" t="s">
        <v>445</v>
      </c>
      <c r="G61" s="69" t="s">
        <v>237</v>
      </c>
      <c r="H61" s="70">
        <v>0</v>
      </c>
      <c r="I61" s="70">
        <v>0</v>
      </c>
      <c r="J61" s="70">
        <v>0</v>
      </c>
      <c r="K61" s="70">
        <v>0</v>
      </c>
      <c r="L61" s="71">
        <v>0</v>
      </c>
      <c r="M61" s="71">
        <v>0</v>
      </c>
      <c r="N61" s="71">
        <v>0</v>
      </c>
      <c r="O61" s="71">
        <v>0</v>
      </c>
      <c r="P61" s="70">
        <v>0</v>
      </c>
      <c r="Q61" s="70">
        <v>0</v>
      </c>
      <c r="R61" s="70">
        <v>0</v>
      </c>
      <c r="S61" s="70">
        <v>0</v>
      </c>
      <c r="T61" s="71">
        <v>0</v>
      </c>
      <c r="U61" s="71">
        <v>0</v>
      </c>
      <c r="V61" s="71">
        <v>0</v>
      </c>
      <c r="W61" s="71">
        <v>0</v>
      </c>
      <c r="X61" s="70">
        <v>0</v>
      </c>
      <c r="Y61" s="70">
        <v>0</v>
      </c>
      <c r="Z61" s="70">
        <v>0</v>
      </c>
      <c r="AA61" s="70">
        <v>0</v>
      </c>
      <c r="AB61" s="71">
        <v>16.323746717166799</v>
      </c>
      <c r="AC61" s="71">
        <v>16.323746717166799</v>
      </c>
      <c r="AD61" s="71">
        <v>23.999999999999986</v>
      </c>
      <c r="AE61" s="71">
        <v>3.2736035812337434</v>
      </c>
      <c r="AF61" s="70">
        <v>0</v>
      </c>
      <c r="AG61" s="70">
        <v>0</v>
      </c>
      <c r="AH61" s="70">
        <v>0</v>
      </c>
      <c r="AI61" s="70">
        <v>0</v>
      </c>
      <c r="AJ61" s="72" t="s">
        <v>931</v>
      </c>
    </row>
    <row r="62" spans="1:36" customFormat="1" x14ac:dyDescent="0.25">
      <c r="A62" s="68">
        <v>56</v>
      </c>
      <c r="B62" s="69" t="s">
        <v>254</v>
      </c>
      <c r="C62" s="69" t="s">
        <v>1023</v>
      </c>
      <c r="D62" s="69" t="s">
        <v>448</v>
      </c>
      <c r="E62" s="69" t="s">
        <v>427</v>
      </c>
      <c r="F62" s="69" t="s">
        <v>445</v>
      </c>
      <c r="G62" s="69" t="s">
        <v>237</v>
      </c>
      <c r="H62" s="70">
        <v>0</v>
      </c>
      <c r="I62" s="70">
        <v>0</v>
      </c>
      <c r="J62" s="70">
        <v>0</v>
      </c>
      <c r="K62" s="70">
        <v>0</v>
      </c>
      <c r="L62" s="71">
        <v>0</v>
      </c>
      <c r="M62" s="71">
        <v>0</v>
      </c>
      <c r="N62" s="71">
        <v>0</v>
      </c>
      <c r="O62" s="71">
        <v>0</v>
      </c>
      <c r="P62" s="70">
        <v>0</v>
      </c>
      <c r="Q62" s="70">
        <v>0</v>
      </c>
      <c r="R62" s="70">
        <v>0</v>
      </c>
      <c r="S62" s="70">
        <v>0</v>
      </c>
      <c r="T62" s="71">
        <v>0</v>
      </c>
      <c r="U62" s="71">
        <v>0</v>
      </c>
      <c r="V62" s="71">
        <v>0</v>
      </c>
      <c r="W62" s="71">
        <v>0</v>
      </c>
      <c r="X62" s="70">
        <v>0</v>
      </c>
      <c r="Y62" s="70">
        <v>0</v>
      </c>
      <c r="Z62" s="70">
        <v>0</v>
      </c>
      <c r="AA62" s="70">
        <v>0</v>
      </c>
      <c r="AB62" s="71">
        <v>0</v>
      </c>
      <c r="AC62" s="71">
        <v>0</v>
      </c>
      <c r="AD62" s="71">
        <v>0</v>
      </c>
      <c r="AE62" s="71">
        <v>0</v>
      </c>
      <c r="AF62" s="70">
        <v>0</v>
      </c>
      <c r="AG62" s="70">
        <v>0</v>
      </c>
      <c r="AH62" s="70">
        <v>0</v>
      </c>
      <c r="AI62" s="70">
        <v>0</v>
      </c>
      <c r="AJ62" s="72" t="s">
        <v>931</v>
      </c>
    </row>
    <row r="63" spans="1:36" customFormat="1" x14ac:dyDescent="0.25">
      <c r="A63" s="68">
        <v>57</v>
      </c>
      <c r="B63" s="69" t="s">
        <v>254</v>
      </c>
      <c r="C63" s="69" t="s">
        <v>1023</v>
      </c>
      <c r="D63" s="69" t="s">
        <v>1029</v>
      </c>
      <c r="E63" s="69" t="s">
        <v>1027</v>
      </c>
      <c r="F63" s="69" t="s">
        <v>1028</v>
      </c>
      <c r="G63" s="69" t="s">
        <v>237</v>
      </c>
      <c r="H63" s="70"/>
      <c r="I63" s="70"/>
      <c r="J63" s="70"/>
      <c r="K63" s="70"/>
      <c r="L63" s="71"/>
      <c r="M63" s="71"/>
      <c r="N63" s="71"/>
      <c r="O63" s="71"/>
      <c r="P63" s="70"/>
      <c r="Q63" s="70"/>
      <c r="R63" s="70"/>
      <c r="S63" s="70"/>
      <c r="T63" s="71"/>
      <c r="U63" s="71"/>
      <c r="V63" s="71"/>
      <c r="W63" s="71"/>
      <c r="X63" s="70"/>
      <c r="Y63" s="70"/>
      <c r="Z63" s="70"/>
      <c r="AA63" s="70"/>
      <c r="AB63" s="71">
        <v>11</v>
      </c>
      <c r="AC63" s="71">
        <v>8.1999999999999993</v>
      </c>
      <c r="AD63" s="71">
        <v>13</v>
      </c>
      <c r="AE63" s="71">
        <v>0.96888888888889024</v>
      </c>
      <c r="AF63" s="70"/>
      <c r="AG63" s="70"/>
      <c r="AH63" s="70"/>
      <c r="AI63" s="70"/>
      <c r="AJ63" s="72" t="s">
        <v>931</v>
      </c>
    </row>
    <row r="64" spans="1:36" customFormat="1" x14ac:dyDescent="0.25">
      <c r="A64" s="68">
        <v>58</v>
      </c>
      <c r="B64" s="69" t="s">
        <v>927</v>
      </c>
      <c r="C64" s="69" t="s">
        <v>1023</v>
      </c>
      <c r="D64" s="69" t="s">
        <v>449</v>
      </c>
      <c r="E64" s="69" t="s">
        <v>429</v>
      </c>
      <c r="F64" s="69" t="s">
        <v>450</v>
      </c>
      <c r="G64" s="69" t="s">
        <v>237</v>
      </c>
      <c r="H64" s="70">
        <v>0</v>
      </c>
      <c r="I64" s="70">
        <v>0</v>
      </c>
      <c r="J64" s="70">
        <v>0</v>
      </c>
      <c r="K64" s="70">
        <v>0</v>
      </c>
      <c r="L64" s="71">
        <v>0</v>
      </c>
      <c r="M64" s="71">
        <v>0</v>
      </c>
      <c r="N64" s="71">
        <v>0</v>
      </c>
      <c r="O64" s="71">
        <v>0</v>
      </c>
      <c r="P64" s="70">
        <v>0</v>
      </c>
      <c r="Q64" s="70">
        <v>0</v>
      </c>
      <c r="R64" s="70">
        <v>0</v>
      </c>
      <c r="S64" s="70">
        <v>0</v>
      </c>
      <c r="T64" s="71">
        <v>0</v>
      </c>
      <c r="U64" s="71">
        <v>0</v>
      </c>
      <c r="V64" s="71">
        <v>0</v>
      </c>
      <c r="W64" s="71">
        <v>0</v>
      </c>
      <c r="X64" s="70">
        <v>0</v>
      </c>
      <c r="Y64" s="70">
        <v>0</v>
      </c>
      <c r="Z64" s="70">
        <v>0</v>
      </c>
      <c r="AA64" s="70">
        <v>0</v>
      </c>
      <c r="AB64" s="71">
        <v>0.9335</v>
      </c>
      <c r="AC64" s="71">
        <v>0.74680000000000002</v>
      </c>
      <c r="AD64" s="71">
        <v>1.1201999999999999</v>
      </c>
      <c r="AE64" s="71">
        <v>5.8094816666666525E-3</v>
      </c>
      <c r="AF64" s="70">
        <v>0</v>
      </c>
      <c r="AG64" s="70">
        <v>0</v>
      </c>
      <c r="AH64" s="70">
        <v>0</v>
      </c>
      <c r="AI64" s="70">
        <v>0</v>
      </c>
      <c r="AJ64" s="72" t="s">
        <v>931</v>
      </c>
    </row>
    <row r="65" spans="1:36" customFormat="1" x14ac:dyDescent="0.25">
      <c r="A65" s="68">
        <v>59</v>
      </c>
      <c r="B65" s="69" t="s">
        <v>927</v>
      </c>
      <c r="C65" s="69" t="s">
        <v>1023</v>
      </c>
      <c r="D65" s="69" t="s">
        <v>451</v>
      </c>
      <c r="E65" s="69" t="s">
        <v>432</v>
      </c>
      <c r="F65" s="69" t="s">
        <v>452</v>
      </c>
      <c r="G65" s="69" t="s">
        <v>237</v>
      </c>
      <c r="H65" s="70">
        <v>0</v>
      </c>
      <c r="I65" s="70">
        <v>0</v>
      </c>
      <c r="J65" s="70">
        <v>0</v>
      </c>
      <c r="K65" s="70">
        <v>0</v>
      </c>
      <c r="L65" s="71">
        <v>0</v>
      </c>
      <c r="M65" s="71">
        <v>0</v>
      </c>
      <c r="N65" s="71">
        <v>0</v>
      </c>
      <c r="O65" s="71">
        <v>0</v>
      </c>
      <c r="P65" s="70">
        <v>0</v>
      </c>
      <c r="Q65" s="70">
        <v>0</v>
      </c>
      <c r="R65" s="70">
        <v>0</v>
      </c>
      <c r="S65" s="70">
        <v>0</v>
      </c>
      <c r="T65" s="71">
        <v>0</v>
      </c>
      <c r="U65" s="71">
        <v>0</v>
      </c>
      <c r="V65" s="71">
        <v>0</v>
      </c>
      <c r="W65" s="71">
        <v>0</v>
      </c>
      <c r="X65" s="70">
        <v>0</v>
      </c>
      <c r="Y65" s="70">
        <v>0</v>
      </c>
      <c r="Z65" s="70">
        <v>0</v>
      </c>
      <c r="AA65" s="70">
        <v>0</v>
      </c>
      <c r="AB65" s="71">
        <v>0.88529170314259109</v>
      </c>
      <c r="AC65" s="71">
        <v>0.80000000000000016</v>
      </c>
      <c r="AD65" s="71">
        <v>1.1111111111111112</v>
      </c>
      <c r="AE65" s="71">
        <v>4.3072000860279675E-3</v>
      </c>
      <c r="AF65" s="70">
        <v>0</v>
      </c>
      <c r="AG65" s="70">
        <v>0</v>
      </c>
      <c r="AH65" s="70">
        <v>0</v>
      </c>
      <c r="AI65" s="70">
        <v>0</v>
      </c>
      <c r="AJ65" s="72" t="s">
        <v>931</v>
      </c>
    </row>
    <row r="66" spans="1:36" customFormat="1" x14ac:dyDescent="0.25">
      <c r="A66" s="68">
        <v>60</v>
      </c>
      <c r="B66" s="69" t="s">
        <v>927</v>
      </c>
      <c r="C66" s="69" t="s">
        <v>1023</v>
      </c>
      <c r="D66" s="69" t="s">
        <v>453</v>
      </c>
      <c r="E66" s="69" t="s">
        <v>434</v>
      </c>
      <c r="F66" s="69" t="s">
        <v>454</v>
      </c>
      <c r="G66" s="69" t="s">
        <v>237</v>
      </c>
      <c r="H66" s="70">
        <v>0</v>
      </c>
      <c r="I66" s="70">
        <v>0</v>
      </c>
      <c r="J66" s="70">
        <v>0</v>
      </c>
      <c r="K66" s="70">
        <v>0</v>
      </c>
      <c r="L66" s="71">
        <v>0</v>
      </c>
      <c r="M66" s="71">
        <v>0</v>
      </c>
      <c r="N66" s="71">
        <v>0</v>
      </c>
      <c r="O66" s="71">
        <v>0</v>
      </c>
      <c r="P66" s="70">
        <v>0</v>
      </c>
      <c r="Q66" s="70">
        <v>0</v>
      </c>
      <c r="R66" s="70">
        <v>0</v>
      </c>
      <c r="S66" s="70">
        <v>0</v>
      </c>
      <c r="T66" s="71">
        <v>0</v>
      </c>
      <c r="U66" s="71">
        <v>0</v>
      </c>
      <c r="V66" s="71">
        <v>0</v>
      </c>
      <c r="W66" s="71">
        <v>0</v>
      </c>
      <c r="X66" s="70">
        <v>0</v>
      </c>
      <c r="Y66" s="70">
        <v>0</v>
      </c>
      <c r="Z66" s="70">
        <v>0</v>
      </c>
      <c r="AA66" s="70">
        <v>0</v>
      </c>
      <c r="AB66" s="71">
        <v>1</v>
      </c>
      <c r="AC66" s="71">
        <v>0.88529170314259109</v>
      </c>
      <c r="AD66" s="71">
        <v>0.88529170314259109</v>
      </c>
      <c r="AE66" s="71">
        <v>7.3099963155153088E-4</v>
      </c>
      <c r="AF66" s="70">
        <v>0</v>
      </c>
      <c r="AG66" s="70">
        <v>0</v>
      </c>
      <c r="AH66" s="70">
        <v>0</v>
      </c>
      <c r="AI66" s="70">
        <v>0</v>
      </c>
      <c r="AJ66" s="72" t="s">
        <v>931</v>
      </c>
    </row>
    <row r="67" spans="1:36" customFormat="1" x14ac:dyDescent="0.25">
      <c r="A67" s="68">
        <v>61</v>
      </c>
      <c r="B67" s="69" t="s">
        <v>254</v>
      </c>
      <c r="C67" s="69" t="s">
        <v>999</v>
      </c>
      <c r="D67" s="69" t="s">
        <v>480</v>
      </c>
      <c r="E67" s="69" t="s">
        <v>413</v>
      </c>
      <c r="F67" s="69" t="s">
        <v>481</v>
      </c>
      <c r="G67" s="69" t="s">
        <v>237</v>
      </c>
      <c r="H67" s="70">
        <v>1</v>
      </c>
      <c r="I67" s="70">
        <v>0.3</v>
      </c>
      <c r="J67" s="70">
        <v>3</v>
      </c>
      <c r="K67" s="70">
        <v>0.32722222222222214</v>
      </c>
      <c r="L67" s="71">
        <v>0</v>
      </c>
      <c r="M67" s="71">
        <v>0</v>
      </c>
      <c r="N67" s="71">
        <v>0</v>
      </c>
      <c r="O67" s="71">
        <v>0</v>
      </c>
      <c r="P67" s="70">
        <v>0</v>
      </c>
      <c r="Q67" s="70">
        <v>0</v>
      </c>
      <c r="R67" s="70">
        <v>0</v>
      </c>
      <c r="S67" s="70">
        <v>0</v>
      </c>
      <c r="T67" s="71">
        <v>0</v>
      </c>
      <c r="U67" s="71">
        <v>0</v>
      </c>
      <c r="V67" s="71">
        <v>0</v>
      </c>
      <c r="W67" s="71">
        <v>0</v>
      </c>
      <c r="X67" s="70">
        <v>0</v>
      </c>
      <c r="Y67" s="70">
        <v>0</v>
      </c>
      <c r="Z67" s="70">
        <v>0</v>
      </c>
      <c r="AA67" s="70">
        <v>0</v>
      </c>
      <c r="AB67" s="71">
        <v>0</v>
      </c>
      <c r="AC67" s="71">
        <v>0</v>
      </c>
      <c r="AD67" s="71">
        <v>0</v>
      </c>
      <c r="AE67" s="71">
        <v>0</v>
      </c>
      <c r="AF67" s="70">
        <v>0</v>
      </c>
      <c r="AG67" s="70">
        <v>0</v>
      </c>
      <c r="AH67" s="70">
        <v>0</v>
      </c>
      <c r="AI67" s="70">
        <v>0</v>
      </c>
      <c r="AJ67" s="72" t="s">
        <v>931</v>
      </c>
    </row>
    <row r="68" spans="1:36" customFormat="1" x14ac:dyDescent="0.25">
      <c r="A68" s="68">
        <v>62</v>
      </c>
      <c r="B68" s="69" t="s">
        <v>254</v>
      </c>
      <c r="C68" s="69" t="s">
        <v>999</v>
      </c>
      <c r="D68" s="69" t="s">
        <v>255</v>
      </c>
      <c r="E68" s="69" t="s">
        <v>256</v>
      </c>
      <c r="F68" s="69" t="s">
        <v>481</v>
      </c>
      <c r="G68" s="69" t="s">
        <v>237</v>
      </c>
      <c r="H68" s="70">
        <v>25.400000000000006</v>
      </c>
      <c r="I68" s="70">
        <v>14.480000000000004</v>
      </c>
      <c r="J68" s="70">
        <v>36.319999999999993</v>
      </c>
      <c r="K68" s="70">
        <v>19.874399999999984</v>
      </c>
      <c r="L68" s="71">
        <v>0</v>
      </c>
      <c r="M68" s="71">
        <v>0</v>
      </c>
      <c r="N68" s="71">
        <v>0</v>
      </c>
      <c r="O68" s="71">
        <v>0</v>
      </c>
      <c r="P68" s="70">
        <v>0</v>
      </c>
      <c r="Q68" s="70">
        <v>0</v>
      </c>
      <c r="R68" s="70">
        <v>0</v>
      </c>
      <c r="S68" s="70">
        <v>0</v>
      </c>
      <c r="T68" s="71">
        <v>0</v>
      </c>
      <c r="U68" s="71">
        <v>0</v>
      </c>
      <c r="V68" s="71">
        <v>0</v>
      </c>
      <c r="W68" s="71">
        <v>0</v>
      </c>
      <c r="X68" s="70">
        <v>0</v>
      </c>
      <c r="Y68" s="70">
        <v>0</v>
      </c>
      <c r="Z68" s="70">
        <v>0</v>
      </c>
      <c r="AA68" s="70">
        <v>0</v>
      </c>
      <c r="AB68" s="71">
        <v>0</v>
      </c>
      <c r="AC68" s="71">
        <v>0</v>
      </c>
      <c r="AD68" s="71">
        <v>0</v>
      </c>
      <c r="AE68" s="71">
        <v>0</v>
      </c>
      <c r="AF68" s="70">
        <v>0</v>
      </c>
      <c r="AG68" s="70">
        <v>0</v>
      </c>
      <c r="AH68" s="70">
        <v>0</v>
      </c>
      <c r="AI68" s="70">
        <v>0</v>
      </c>
      <c r="AJ68" s="72" t="s">
        <v>931</v>
      </c>
    </row>
    <row r="69" spans="1:36" customFormat="1" x14ac:dyDescent="0.25">
      <c r="A69" s="68">
        <v>63</v>
      </c>
      <c r="B69" s="69" t="s">
        <v>254</v>
      </c>
      <c r="C69" s="69" t="s">
        <v>999</v>
      </c>
      <c r="D69" s="69" t="s">
        <v>482</v>
      </c>
      <c r="E69" s="69" t="s">
        <v>262</v>
      </c>
      <c r="F69" s="69" t="s">
        <v>481</v>
      </c>
      <c r="G69" s="69" t="s">
        <v>237</v>
      </c>
      <c r="H69" s="70">
        <v>1</v>
      </c>
      <c r="I69" s="70">
        <v>0.3</v>
      </c>
      <c r="J69" s="70">
        <v>3</v>
      </c>
      <c r="K69" s="70">
        <v>0.32722222222222214</v>
      </c>
      <c r="L69" s="71">
        <v>0</v>
      </c>
      <c r="M69" s="71">
        <v>0</v>
      </c>
      <c r="N69" s="71">
        <v>0</v>
      </c>
      <c r="O69" s="71">
        <v>0</v>
      </c>
      <c r="P69" s="70">
        <v>0</v>
      </c>
      <c r="Q69" s="70">
        <v>0</v>
      </c>
      <c r="R69" s="70">
        <v>0</v>
      </c>
      <c r="S69" s="70">
        <v>0</v>
      </c>
      <c r="T69" s="71">
        <v>0</v>
      </c>
      <c r="U69" s="71">
        <v>0</v>
      </c>
      <c r="V69" s="71">
        <v>0</v>
      </c>
      <c r="W69" s="71">
        <v>0</v>
      </c>
      <c r="X69" s="70">
        <v>0</v>
      </c>
      <c r="Y69" s="70">
        <v>0</v>
      </c>
      <c r="Z69" s="70">
        <v>0</v>
      </c>
      <c r="AA69" s="70">
        <v>0</v>
      </c>
      <c r="AB69" s="71">
        <v>0</v>
      </c>
      <c r="AC69" s="71">
        <v>0</v>
      </c>
      <c r="AD69" s="71">
        <v>0</v>
      </c>
      <c r="AE69" s="71">
        <v>0</v>
      </c>
      <c r="AF69" s="70">
        <v>0</v>
      </c>
      <c r="AG69" s="70">
        <v>0</v>
      </c>
      <c r="AH69" s="70">
        <v>0</v>
      </c>
      <c r="AI69" s="70">
        <v>0</v>
      </c>
      <c r="AJ69" s="72" t="s">
        <v>931</v>
      </c>
    </row>
    <row r="70" spans="1:36" customFormat="1" x14ac:dyDescent="0.25">
      <c r="A70" s="68">
        <v>64</v>
      </c>
      <c r="B70" s="69" t="s">
        <v>254</v>
      </c>
      <c r="C70" s="69" t="s">
        <v>999</v>
      </c>
      <c r="D70" s="69" t="s">
        <v>258</v>
      </c>
      <c r="E70" s="69" t="s">
        <v>259</v>
      </c>
      <c r="F70" s="69" t="s">
        <v>481</v>
      </c>
      <c r="G70" s="69" t="s">
        <v>237</v>
      </c>
      <c r="H70" s="70">
        <v>1</v>
      </c>
      <c r="I70" s="70">
        <v>0.3</v>
      </c>
      <c r="J70" s="70">
        <v>3</v>
      </c>
      <c r="K70" s="70">
        <v>0.32722222222222214</v>
      </c>
      <c r="L70" s="71">
        <v>0</v>
      </c>
      <c r="M70" s="71">
        <v>0</v>
      </c>
      <c r="N70" s="71">
        <v>0</v>
      </c>
      <c r="O70" s="71">
        <v>0</v>
      </c>
      <c r="P70" s="70">
        <v>0</v>
      </c>
      <c r="Q70" s="70">
        <v>0</v>
      </c>
      <c r="R70" s="70">
        <v>0</v>
      </c>
      <c r="S70" s="70">
        <v>0</v>
      </c>
      <c r="T70" s="71">
        <v>0</v>
      </c>
      <c r="U70" s="71">
        <v>0</v>
      </c>
      <c r="V70" s="71">
        <v>0</v>
      </c>
      <c r="W70" s="71">
        <v>0</v>
      </c>
      <c r="X70" s="70">
        <v>0</v>
      </c>
      <c r="Y70" s="70">
        <v>0</v>
      </c>
      <c r="Z70" s="70">
        <v>0</v>
      </c>
      <c r="AA70" s="70">
        <v>0</v>
      </c>
      <c r="AB70" s="71">
        <v>0</v>
      </c>
      <c r="AC70" s="71">
        <v>0</v>
      </c>
      <c r="AD70" s="71">
        <v>0</v>
      </c>
      <c r="AE70" s="71">
        <v>0</v>
      </c>
      <c r="AF70" s="70">
        <v>0</v>
      </c>
      <c r="AG70" s="70">
        <v>0</v>
      </c>
      <c r="AH70" s="70">
        <v>0</v>
      </c>
      <c r="AI70" s="70">
        <v>0</v>
      </c>
      <c r="AJ70" s="72" t="s">
        <v>931</v>
      </c>
    </row>
    <row r="71" spans="1:36" customFormat="1" x14ac:dyDescent="0.25">
      <c r="A71" s="68">
        <v>65</v>
      </c>
      <c r="B71" s="69" t="s">
        <v>254</v>
      </c>
      <c r="C71" s="69" t="s">
        <v>999</v>
      </c>
      <c r="D71" s="69" t="s">
        <v>483</v>
      </c>
      <c r="E71" s="69" t="s">
        <v>417</v>
      </c>
      <c r="F71" s="69" t="s">
        <v>481</v>
      </c>
      <c r="G71" s="69" t="s">
        <v>237</v>
      </c>
      <c r="H71" s="70">
        <v>9</v>
      </c>
      <c r="I71" s="70">
        <v>7.2</v>
      </c>
      <c r="J71" s="70">
        <v>10.799999999999999</v>
      </c>
      <c r="K71" s="70">
        <v>0.53999999999999915</v>
      </c>
      <c r="L71" s="71">
        <v>0</v>
      </c>
      <c r="M71" s="71">
        <v>0</v>
      </c>
      <c r="N71" s="71">
        <v>0</v>
      </c>
      <c r="O71" s="71">
        <v>0</v>
      </c>
      <c r="P71" s="70">
        <v>0</v>
      </c>
      <c r="Q71" s="70">
        <v>0</v>
      </c>
      <c r="R71" s="70">
        <v>0</v>
      </c>
      <c r="S71" s="70">
        <v>0</v>
      </c>
      <c r="T71" s="71">
        <v>0</v>
      </c>
      <c r="U71" s="71">
        <v>0</v>
      </c>
      <c r="V71" s="71">
        <v>0</v>
      </c>
      <c r="W71" s="71">
        <v>0</v>
      </c>
      <c r="X71" s="70">
        <v>0</v>
      </c>
      <c r="Y71" s="70">
        <v>0</v>
      </c>
      <c r="Z71" s="70">
        <v>0</v>
      </c>
      <c r="AA71" s="70">
        <v>0</v>
      </c>
      <c r="AB71" s="71">
        <v>0</v>
      </c>
      <c r="AC71" s="71">
        <v>0</v>
      </c>
      <c r="AD71" s="71">
        <v>0</v>
      </c>
      <c r="AE71" s="71">
        <v>0</v>
      </c>
      <c r="AF71" s="70">
        <v>0</v>
      </c>
      <c r="AG71" s="70">
        <v>0</v>
      </c>
      <c r="AH71" s="70">
        <v>0</v>
      </c>
      <c r="AI71" s="70">
        <v>0</v>
      </c>
      <c r="AJ71" s="72" t="s">
        <v>931</v>
      </c>
    </row>
    <row r="72" spans="1:36" customFormat="1" x14ac:dyDescent="0.25">
      <c r="A72" s="68">
        <v>66</v>
      </c>
      <c r="B72" s="69" t="s">
        <v>254</v>
      </c>
      <c r="C72" s="69" t="s">
        <v>999</v>
      </c>
      <c r="D72" s="69" t="s">
        <v>484</v>
      </c>
      <c r="E72" s="69" t="s">
        <v>419</v>
      </c>
      <c r="F72" s="69" t="s">
        <v>481</v>
      </c>
      <c r="G72" s="69" t="s">
        <v>237</v>
      </c>
      <c r="H72" s="70">
        <v>54.6</v>
      </c>
      <c r="I72" s="70">
        <v>43.680000000000007</v>
      </c>
      <c r="J72" s="70">
        <v>65.52</v>
      </c>
      <c r="K72" s="70">
        <v>19.874400000000072</v>
      </c>
      <c r="L72" s="71">
        <v>0</v>
      </c>
      <c r="M72" s="71">
        <v>0</v>
      </c>
      <c r="N72" s="71">
        <v>0</v>
      </c>
      <c r="O72" s="71">
        <v>0</v>
      </c>
      <c r="P72" s="70">
        <v>0</v>
      </c>
      <c r="Q72" s="70">
        <v>0</v>
      </c>
      <c r="R72" s="70">
        <v>0</v>
      </c>
      <c r="S72" s="70">
        <v>0</v>
      </c>
      <c r="T72" s="71">
        <v>0</v>
      </c>
      <c r="U72" s="71">
        <v>0</v>
      </c>
      <c r="V72" s="71">
        <v>0</v>
      </c>
      <c r="W72" s="71">
        <v>0</v>
      </c>
      <c r="X72" s="70">
        <v>0</v>
      </c>
      <c r="Y72" s="70">
        <v>0</v>
      </c>
      <c r="Z72" s="70">
        <v>0</v>
      </c>
      <c r="AA72" s="70">
        <v>0</v>
      </c>
      <c r="AB72" s="71">
        <v>0</v>
      </c>
      <c r="AC72" s="71">
        <v>0</v>
      </c>
      <c r="AD72" s="71">
        <v>0</v>
      </c>
      <c r="AE72" s="71">
        <v>0</v>
      </c>
      <c r="AF72" s="70">
        <v>0</v>
      </c>
      <c r="AG72" s="70">
        <v>0</v>
      </c>
      <c r="AH72" s="70">
        <v>0</v>
      </c>
      <c r="AI72" s="70">
        <v>0</v>
      </c>
      <c r="AJ72" s="72" t="s">
        <v>931</v>
      </c>
    </row>
    <row r="73" spans="1:36" customFormat="1" x14ac:dyDescent="0.25">
      <c r="A73" s="68">
        <v>67</v>
      </c>
      <c r="B73" s="69" t="s">
        <v>254</v>
      </c>
      <c r="C73" s="69" t="s">
        <v>999</v>
      </c>
      <c r="D73" s="69" t="s">
        <v>485</v>
      </c>
      <c r="E73" s="69" t="s">
        <v>421</v>
      </c>
      <c r="F73" s="69" t="s">
        <v>263</v>
      </c>
      <c r="G73" s="69" t="s">
        <v>237</v>
      </c>
      <c r="H73" s="70">
        <v>8</v>
      </c>
      <c r="I73" s="70">
        <v>6.4</v>
      </c>
      <c r="J73" s="70">
        <v>8</v>
      </c>
      <c r="K73" s="70">
        <v>0.14222222222222233</v>
      </c>
      <c r="L73" s="71">
        <v>0</v>
      </c>
      <c r="M73" s="71">
        <v>0</v>
      </c>
      <c r="N73" s="71">
        <v>0</v>
      </c>
      <c r="O73" s="71">
        <v>0</v>
      </c>
      <c r="P73" s="70">
        <v>0</v>
      </c>
      <c r="Q73" s="70">
        <v>0</v>
      </c>
      <c r="R73" s="70">
        <v>0</v>
      </c>
      <c r="S73" s="70">
        <v>0</v>
      </c>
      <c r="T73" s="71">
        <v>0</v>
      </c>
      <c r="U73" s="71">
        <v>0</v>
      </c>
      <c r="V73" s="71">
        <v>0</v>
      </c>
      <c r="W73" s="71">
        <v>0</v>
      </c>
      <c r="X73" s="70">
        <v>0</v>
      </c>
      <c r="Y73" s="70">
        <v>0</v>
      </c>
      <c r="Z73" s="70">
        <v>0</v>
      </c>
      <c r="AA73" s="70">
        <v>0</v>
      </c>
      <c r="AB73" s="71">
        <v>0</v>
      </c>
      <c r="AC73" s="71">
        <v>0</v>
      </c>
      <c r="AD73" s="71">
        <v>0</v>
      </c>
      <c r="AE73" s="71">
        <v>0</v>
      </c>
      <c r="AF73" s="70">
        <v>0</v>
      </c>
      <c r="AG73" s="70">
        <v>0</v>
      </c>
      <c r="AH73" s="70">
        <v>0</v>
      </c>
      <c r="AI73" s="70">
        <v>0</v>
      </c>
      <c r="AJ73" s="72" t="s">
        <v>931</v>
      </c>
    </row>
    <row r="74" spans="1:36" customFormat="1" x14ac:dyDescent="0.25">
      <c r="A74" s="68">
        <v>68</v>
      </c>
      <c r="B74" s="69" t="s">
        <v>254</v>
      </c>
      <c r="C74" s="69" t="s">
        <v>999</v>
      </c>
      <c r="D74" s="69" t="s">
        <v>486</v>
      </c>
      <c r="E74" s="69" t="s">
        <v>423</v>
      </c>
      <c r="F74" s="69" t="s">
        <v>487</v>
      </c>
      <c r="G74" s="69" t="s">
        <v>237</v>
      </c>
      <c r="H74" s="70">
        <v>41.4</v>
      </c>
      <c r="I74" s="70">
        <v>32.4</v>
      </c>
      <c r="J74" s="70">
        <v>50.4</v>
      </c>
      <c r="K74" s="70">
        <v>13.500000000000025</v>
      </c>
      <c r="L74" s="71">
        <v>0</v>
      </c>
      <c r="M74" s="71">
        <v>0</v>
      </c>
      <c r="N74" s="71">
        <v>0</v>
      </c>
      <c r="O74" s="71">
        <v>0</v>
      </c>
      <c r="P74" s="70">
        <v>0</v>
      </c>
      <c r="Q74" s="70">
        <v>0</v>
      </c>
      <c r="R74" s="70">
        <v>0</v>
      </c>
      <c r="S74" s="70">
        <v>0</v>
      </c>
      <c r="T74" s="71">
        <v>0</v>
      </c>
      <c r="U74" s="71">
        <v>0</v>
      </c>
      <c r="V74" s="71">
        <v>0</v>
      </c>
      <c r="W74" s="71">
        <v>0</v>
      </c>
      <c r="X74" s="70">
        <v>0</v>
      </c>
      <c r="Y74" s="70">
        <v>0</v>
      </c>
      <c r="Z74" s="70">
        <v>0</v>
      </c>
      <c r="AA74" s="70">
        <v>0</v>
      </c>
      <c r="AB74" s="71">
        <v>0</v>
      </c>
      <c r="AC74" s="71">
        <v>0</v>
      </c>
      <c r="AD74" s="71">
        <v>0</v>
      </c>
      <c r="AE74" s="71">
        <v>0</v>
      </c>
      <c r="AF74" s="70">
        <v>0</v>
      </c>
      <c r="AG74" s="70">
        <v>0</v>
      </c>
      <c r="AH74" s="70">
        <v>0</v>
      </c>
      <c r="AI74" s="70">
        <v>0</v>
      </c>
      <c r="AJ74" s="72" t="s">
        <v>931</v>
      </c>
    </row>
    <row r="75" spans="1:36" customFormat="1" x14ac:dyDescent="0.25">
      <c r="A75" s="68">
        <v>69</v>
      </c>
      <c r="B75" s="69" t="s">
        <v>254</v>
      </c>
      <c r="C75" s="69" t="s">
        <v>999</v>
      </c>
      <c r="D75" s="69" t="s">
        <v>488</v>
      </c>
      <c r="E75" s="69" t="s">
        <v>265</v>
      </c>
      <c r="F75" s="69" t="s">
        <v>487</v>
      </c>
      <c r="G75" s="69" t="s">
        <v>237</v>
      </c>
      <c r="H75" s="70">
        <v>4</v>
      </c>
      <c r="I75" s="70">
        <v>3.2</v>
      </c>
      <c r="J75" s="70">
        <v>4.8</v>
      </c>
      <c r="K75" s="70">
        <v>0.10666666666666676</v>
      </c>
      <c r="L75" s="71">
        <v>0</v>
      </c>
      <c r="M75" s="71">
        <v>0</v>
      </c>
      <c r="N75" s="71">
        <v>0</v>
      </c>
      <c r="O75" s="71">
        <v>0</v>
      </c>
      <c r="P75" s="70">
        <v>0</v>
      </c>
      <c r="Q75" s="70">
        <v>0</v>
      </c>
      <c r="R75" s="70">
        <v>0</v>
      </c>
      <c r="S75" s="70">
        <v>0</v>
      </c>
      <c r="T75" s="71">
        <v>0</v>
      </c>
      <c r="U75" s="71">
        <v>0</v>
      </c>
      <c r="V75" s="71">
        <v>0</v>
      </c>
      <c r="W75" s="71">
        <v>0</v>
      </c>
      <c r="X75" s="70">
        <v>0</v>
      </c>
      <c r="Y75" s="70">
        <v>0</v>
      </c>
      <c r="Z75" s="70">
        <v>0</v>
      </c>
      <c r="AA75" s="70">
        <v>0</v>
      </c>
      <c r="AB75" s="71">
        <v>0</v>
      </c>
      <c r="AC75" s="71">
        <v>0</v>
      </c>
      <c r="AD75" s="71">
        <v>0</v>
      </c>
      <c r="AE75" s="71">
        <v>0</v>
      </c>
      <c r="AF75" s="70">
        <v>0</v>
      </c>
      <c r="AG75" s="70">
        <v>0</v>
      </c>
      <c r="AH75" s="70">
        <v>0</v>
      </c>
      <c r="AI75" s="70">
        <v>0</v>
      </c>
      <c r="AJ75" s="72" t="s">
        <v>931</v>
      </c>
    </row>
    <row r="76" spans="1:36" customFormat="1" x14ac:dyDescent="0.25">
      <c r="A76" s="68">
        <v>70</v>
      </c>
      <c r="B76" s="69" t="s">
        <v>254</v>
      </c>
      <c r="C76" s="69" t="s">
        <v>999</v>
      </c>
      <c r="D76" s="69" t="s">
        <v>490</v>
      </c>
      <c r="E76" s="69" t="s">
        <v>425</v>
      </c>
      <c r="F76" s="69" t="s">
        <v>487</v>
      </c>
      <c r="G76" s="69" t="s">
        <v>237</v>
      </c>
      <c r="H76" s="70">
        <v>4</v>
      </c>
      <c r="I76" s="70">
        <v>3.2</v>
      </c>
      <c r="J76" s="70">
        <v>4.8</v>
      </c>
      <c r="K76" s="70">
        <v>0.10666666666666676</v>
      </c>
      <c r="L76" s="71">
        <v>0</v>
      </c>
      <c r="M76" s="71">
        <v>0</v>
      </c>
      <c r="N76" s="71">
        <v>0</v>
      </c>
      <c r="O76" s="71">
        <v>0</v>
      </c>
      <c r="P76" s="70">
        <v>0</v>
      </c>
      <c r="Q76" s="70">
        <v>0</v>
      </c>
      <c r="R76" s="70">
        <v>0</v>
      </c>
      <c r="S76" s="70">
        <v>0</v>
      </c>
      <c r="T76" s="71">
        <v>0</v>
      </c>
      <c r="U76" s="71">
        <v>0</v>
      </c>
      <c r="V76" s="71">
        <v>0</v>
      </c>
      <c r="W76" s="71">
        <v>0</v>
      </c>
      <c r="X76" s="70">
        <v>0</v>
      </c>
      <c r="Y76" s="70">
        <v>0</v>
      </c>
      <c r="Z76" s="70">
        <v>0</v>
      </c>
      <c r="AA76" s="70">
        <v>0</v>
      </c>
      <c r="AB76" s="71">
        <v>0</v>
      </c>
      <c r="AC76" s="71">
        <v>0</v>
      </c>
      <c r="AD76" s="71">
        <v>0</v>
      </c>
      <c r="AE76" s="71">
        <v>0</v>
      </c>
      <c r="AF76" s="70">
        <v>0</v>
      </c>
      <c r="AG76" s="70">
        <v>0</v>
      </c>
      <c r="AH76" s="70">
        <v>0</v>
      </c>
      <c r="AI76" s="70">
        <v>0</v>
      </c>
      <c r="AJ76" s="72" t="s">
        <v>931</v>
      </c>
    </row>
    <row r="77" spans="1:36" customFormat="1" x14ac:dyDescent="0.25">
      <c r="A77" s="68">
        <v>71</v>
      </c>
      <c r="B77" s="69" t="s">
        <v>254</v>
      </c>
      <c r="C77" s="69" t="s">
        <v>999</v>
      </c>
      <c r="D77" s="69" t="s">
        <v>491</v>
      </c>
      <c r="E77" s="69" t="s">
        <v>427</v>
      </c>
      <c r="F77" s="69" t="s">
        <v>487</v>
      </c>
      <c r="G77" s="69" t="s">
        <v>237</v>
      </c>
      <c r="H77" s="70">
        <v>50.6</v>
      </c>
      <c r="I77" s="70">
        <v>41.6</v>
      </c>
      <c r="J77" s="70">
        <v>59.6</v>
      </c>
      <c r="K77" s="70">
        <v>13.499999999999948</v>
      </c>
      <c r="L77" s="71">
        <v>0</v>
      </c>
      <c r="M77" s="71">
        <v>0</v>
      </c>
      <c r="N77" s="71">
        <v>0</v>
      </c>
      <c r="O77" s="71">
        <v>0</v>
      </c>
      <c r="P77" s="70">
        <v>0</v>
      </c>
      <c r="Q77" s="70">
        <v>0</v>
      </c>
      <c r="R77" s="70">
        <v>0</v>
      </c>
      <c r="S77" s="70">
        <v>0</v>
      </c>
      <c r="T77" s="71">
        <v>0</v>
      </c>
      <c r="U77" s="71">
        <v>0</v>
      </c>
      <c r="V77" s="71">
        <v>0</v>
      </c>
      <c r="W77" s="71">
        <v>0</v>
      </c>
      <c r="X77" s="70">
        <v>0</v>
      </c>
      <c r="Y77" s="70">
        <v>0</v>
      </c>
      <c r="Z77" s="70">
        <v>0</v>
      </c>
      <c r="AA77" s="70">
        <v>0</v>
      </c>
      <c r="AB77" s="71">
        <v>0</v>
      </c>
      <c r="AC77" s="71">
        <v>0</v>
      </c>
      <c r="AD77" s="71">
        <v>0</v>
      </c>
      <c r="AE77" s="71">
        <v>0</v>
      </c>
      <c r="AF77" s="70">
        <v>0</v>
      </c>
      <c r="AG77" s="70">
        <v>0</v>
      </c>
      <c r="AH77" s="70">
        <v>0</v>
      </c>
      <c r="AI77" s="70">
        <v>0</v>
      </c>
      <c r="AJ77" s="72" t="s">
        <v>931</v>
      </c>
    </row>
    <row r="78" spans="1:36" customFormat="1" x14ac:dyDescent="0.25">
      <c r="A78" s="68">
        <v>72</v>
      </c>
      <c r="B78" s="69" t="s">
        <v>254</v>
      </c>
      <c r="C78" s="69" t="s">
        <v>999</v>
      </c>
      <c r="D78" s="69" t="s">
        <v>1030</v>
      </c>
      <c r="E78" s="69" t="s">
        <v>1027</v>
      </c>
      <c r="F78" s="69" t="s">
        <v>1028</v>
      </c>
      <c r="G78" s="69" t="s">
        <v>237</v>
      </c>
      <c r="H78" s="70"/>
      <c r="I78" s="70"/>
      <c r="J78" s="70"/>
      <c r="K78" s="70"/>
      <c r="L78" s="71"/>
      <c r="M78" s="71"/>
      <c r="N78" s="71"/>
      <c r="O78" s="71"/>
      <c r="P78" s="70"/>
      <c r="Q78" s="70"/>
      <c r="R78" s="70"/>
      <c r="S78" s="70"/>
      <c r="T78" s="71"/>
      <c r="U78" s="71"/>
      <c r="V78" s="71"/>
      <c r="W78" s="71"/>
      <c r="X78" s="70"/>
      <c r="Y78" s="70"/>
      <c r="Z78" s="70"/>
      <c r="AA78" s="70"/>
      <c r="AB78" s="71"/>
      <c r="AC78" s="71"/>
      <c r="AD78" s="71"/>
      <c r="AE78" s="71"/>
      <c r="AF78" s="70"/>
      <c r="AG78" s="70"/>
      <c r="AH78" s="70"/>
      <c r="AI78" s="70"/>
      <c r="AJ78" s="72" t="s">
        <v>931</v>
      </c>
    </row>
    <row r="79" spans="1:36" customFormat="1" x14ac:dyDescent="0.25">
      <c r="A79" s="68">
        <v>73</v>
      </c>
      <c r="B79" s="69" t="s">
        <v>927</v>
      </c>
      <c r="C79" s="69" t="s">
        <v>999</v>
      </c>
      <c r="D79" s="69" t="s">
        <v>492</v>
      </c>
      <c r="E79" s="69" t="s">
        <v>429</v>
      </c>
      <c r="F79" s="69" t="s">
        <v>1031</v>
      </c>
      <c r="G79" s="69" t="s">
        <v>237</v>
      </c>
      <c r="H79" s="70">
        <v>0.54600000000000004</v>
      </c>
      <c r="I79" s="70">
        <v>0.54600000000000004</v>
      </c>
      <c r="J79" s="70">
        <v>0.81899999999999995</v>
      </c>
      <c r="K79" s="70">
        <v>4.1405000000000001E-3</v>
      </c>
      <c r="L79" s="71">
        <v>0</v>
      </c>
      <c r="M79" s="71">
        <v>0</v>
      </c>
      <c r="N79" s="71">
        <v>0</v>
      </c>
      <c r="O79" s="71">
        <v>0</v>
      </c>
      <c r="P79" s="70">
        <v>0</v>
      </c>
      <c r="Q79" s="70">
        <v>0</v>
      </c>
      <c r="R79" s="70">
        <v>0</v>
      </c>
      <c r="S79" s="70">
        <v>0</v>
      </c>
      <c r="T79" s="71">
        <v>0</v>
      </c>
      <c r="U79" s="71">
        <v>0</v>
      </c>
      <c r="V79" s="71">
        <v>0</v>
      </c>
      <c r="W79" s="71">
        <v>0</v>
      </c>
      <c r="X79" s="70">
        <v>0</v>
      </c>
      <c r="Y79" s="70">
        <v>0</v>
      </c>
      <c r="Z79" s="70">
        <v>0</v>
      </c>
      <c r="AA79" s="70">
        <v>0</v>
      </c>
      <c r="AB79" s="71">
        <v>0</v>
      </c>
      <c r="AC79" s="71">
        <v>0</v>
      </c>
      <c r="AD79" s="71">
        <v>0</v>
      </c>
      <c r="AE79" s="71">
        <v>0</v>
      </c>
      <c r="AF79" s="70">
        <v>0</v>
      </c>
      <c r="AG79" s="70">
        <v>0</v>
      </c>
      <c r="AH79" s="70">
        <v>0</v>
      </c>
      <c r="AI79" s="70">
        <v>0</v>
      </c>
      <c r="AJ79" s="72" t="s">
        <v>931</v>
      </c>
    </row>
    <row r="80" spans="1:36" customFormat="1" x14ac:dyDescent="0.25">
      <c r="A80" s="68">
        <v>74</v>
      </c>
      <c r="B80" s="69" t="s">
        <v>927</v>
      </c>
      <c r="C80" s="69" t="s">
        <v>999</v>
      </c>
      <c r="D80" s="69" t="s">
        <v>493</v>
      </c>
      <c r="E80" s="69" t="s">
        <v>432</v>
      </c>
      <c r="F80" s="69" t="s">
        <v>1032</v>
      </c>
      <c r="G80" s="69" t="s">
        <v>237</v>
      </c>
      <c r="H80" s="70">
        <v>0.45999999999999996</v>
      </c>
      <c r="I80" s="70">
        <v>0.36</v>
      </c>
      <c r="J80" s="70">
        <v>0.56000000000000005</v>
      </c>
      <c r="K80" s="70">
        <v>1.6666666666666711E-3</v>
      </c>
      <c r="L80" s="71">
        <v>0</v>
      </c>
      <c r="M80" s="71">
        <v>0</v>
      </c>
      <c r="N80" s="71">
        <v>0</v>
      </c>
      <c r="O80" s="71">
        <v>0</v>
      </c>
      <c r="P80" s="70">
        <v>0</v>
      </c>
      <c r="Q80" s="70">
        <v>0</v>
      </c>
      <c r="R80" s="70">
        <v>0</v>
      </c>
      <c r="S80" s="70">
        <v>0</v>
      </c>
      <c r="T80" s="71">
        <v>0</v>
      </c>
      <c r="U80" s="71">
        <v>0</v>
      </c>
      <c r="V80" s="71">
        <v>0</v>
      </c>
      <c r="W80" s="71">
        <v>0</v>
      </c>
      <c r="X80" s="70">
        <v>0</v>
      </c>
      <c r="Y80" s="70">
        <v>0</v>
      </c>
      <c r="Z80" s="70">
        <v>0</v>
      </c>
      <c r="AA80" s="70">
        <v>0</v>
      </c>
      <c r="AB80" s="71">
        <v>0</v>
      </c>
      <c r="AC80" s="71">
        <v>0</v>
      </c>
      <c r="AD80" s="71">
        <v>0</v>
      </c>
      <c r="AE80" s="71">
        <v>0</v>
      </c>
      <c r="AF80" s="70">
        <v>0</v>
      </c>
      <c r="AG80" s="70">
        <v>0</v>
      </c>
      <c r="AH80" s="70">
        <v>0</v>
      </c>
      <c r="AI80" s="70">
        <v>0</v>
      </c>
      <c r="AJ80" s="72" t="s">
        <v>931</v>
      </c>
    </row>
    <row r="81" spans="1:36" customFormat="1" x14ac:dyDescent="0.25">
      <c r="A81" s="68">
        <v>75</v>
      </c>
      <c r="B81" s="69" t="s">
        <v>927</v>
      </c>
      <c r="C81" s="69" t="s">
        <v>999</v>
      </c>
      <c r="D81" s="69" t="s">
        <v>494</v>
      </c>
      <c r="E81" s="69" t="s">
        <v>434</v>
      </c>
      <c r="F81" s="69" t="s">
        <v>1033</v>
      </c>
      <c r="G81" s="69" t="s">
        <v>237</v>
      </c>
      <c r="H81" s="70">
        <v>0.73</v>
      </c>
      <c r="I81" s="70">
        <v>0.57999999999999996</v>
      </c>
      <c r="J81" s="70">
        <v>0.88</v>
      </c>
      <c r="K81" s="70">
        <v>3.7499999999999999E-3</v>
      </c>
      <c r="L81" s="71">
        <v>0</v>
      </c>
      <c r="M81" s="71">
        <v>0</v>
      </c>
      <c r="N81" s="71">
        <v>0</v>
      </c>
      <c r="O81" s="71">
        <v>0</v>
      </c>
      <c r="P81" s="70">
        <v>0</v>
      </c>
      <c r="Q81" s="70">
        <v>0</v>
      </c>
      <c r="R81" s="70">
        <v>0</v>
      </c>
      <c r="S81" s="70">
        <v>0</v>
      </c>
      <c r="T81" s="71">
        <v>0</v>
      </c>
      <c r="U81" s="71">
        <v>0</v>
      </c>
      <c r="V81" s="71">
        <v>0</v>
      </c>
      <c r="W81" s="71">
        <v>0</v>
      </c>
      <c r="X81" s="70">
        <v>0</v>
      </c>
      <c r="Y81" s="70">
        <v>0</v>
      </c>
      <c r="Z81" s="70">
        <v>0</v>
      </c>
      <c r="AA81" s="70">
        <v>0</v>
      </c>
      <c r="AB81" s="71">
        <v>0</v>
      </c>
      <c r="AC81" s="71">
        <v>0</v>
      </c>
      <c r="AD81" s="71">
        <v>0</v>
      </c>
      <c r="AE81" s="71">
        <v>0</v>
      </c>
      <c r="AF81" s="70">
        <v>0</v>
      </c>
      <c r="AG81" s="70">
        <v>0</v>
      </c>
      <c r="AH81" s="70">
        <v>0</v>
      </c>
      <c r="AI81" s="70">
        <v>0</v>
      </c>
      <c r="AJ81" s="72" t="s">
        <v>931</v>
      </c>
    </row>
    <row r="82" spans="1:36" customFormat="1" x14ac:dyDescent="0.25">
      <c r="A82" s="68">
        <v>76</v>
      </c>
      <c r="B82" s="69" t="s">
        <v>254</v>
      </c>
      <c r="C82" s="69" t="s">
        <v>1000</v>
      </c>
      <c r="D82" s="69" t="s">
        <v>495</v>
      </c>
      <c r="E82" s="69" t="s">
        <v>413</v>
      </c>
      <c r="F82" s="69" t="s">
        <v>481</v>
      </c>
      <c r="G82" s="69" t="s">
        <v>237</v>
      </c>
      <c r="H82" s="70">
        <v>1</v>
      </c>
      <c r="I82" s="70">
        <v>0.3</v>
      </c>
      <c r="J82" s="70">
        <v>3</v>
      </c>
      <c r="K82" s="70">
        <v>0.32722222222222214</v>
      </c>
      <c r="L82" s="71">
        <v>0</v>
      </c>
      <c r="M82" s="71">
        <v>0</v>
      </c>
      <c r="N82" s="71">
        <v>0</v>
      </c>
      <c r="O82" s="71">
        <v>0</v>
      </c>
      <c r="P82" s="70">
        <v>1</v>
      </c>
      <c r="Q82" s="70">
        <v>0.3</v>
      </c>
      <c r="R82" s="70">
        <v>3</v>
      </c>
      <c r="S82" s="70">
        <v>0.32722222222222214</v>
      </c>
      <c r="T82" s="71">
        <v>1</v>
      </c>
      <c r="U82" s="71">
        <v>0.3</v>
      </c>
      <c r="V82" s="71">
        <v>3</v>
      </c>
      <c r="W82" s="71">
        <v>0.32722222222222214</v>
      </c>
      <c r="X82" s="70">
        <v>0</v>
      </c>
      <c r="Y82" s="70">
        <v>0</v>
      </c>
      <c r="Z82" s="70">
        <v>0</v>
      </c>
      <c r="AA82" s="70">
        <v>0</v>
      </c>
      <c r="AB82" s="71">
        <v>0.97800000000000009</v>
      </c>
      <c r="AC82" s="71">
        <v>0.7824000000000001</v>
      </c>
      <c r="AD82" s="71">
        <v>1.1736</v>
      </c>
      <c r="AE82" s="71">
        <v>6.376560000000012E-3</v>
      </c>
      <c r="AF82" s="70">
        <v>0</v>
      </c>
      <c r="AG82" s="70">
        <v>0</v>
      </c>
      <c r="AH82" s="70">
        <v>0</v>
      </c>
      <c r="AI82" s="70">
        <v>0</v>
      </c>
      <c r="AJ82" s="72" t="s">
        <v>931</v>
      </c>
    </row>
    <row r="83" spans="1:36" customFormat="1" x14ac:dyDescent="0.25">
      <c r="A83" s="68">
        <v>77</v>
      </c>
      <c r="B83" s="69" t="s">
        <v>254</v>
      </c>
      <c r="C83" s="69" t="s">
        <v>1000</v>
      </c>
      <c r="D83" s="69" t="s">
        <v>496</v>
      </c>
      <c r="E83" s="69" t="s">
        <v>256</v>
      </c>
      <c r="F83" s="69" t="s">
        <v>481</v>
      </c>
      <c r="G83" s="69" t="s">
        <v>237</v>
      </c>
      <c r="H83" s="70">
        <v>25.400000000000006</v>
      </c>
      <c r="I83" s="70">
        <v>14.480000000000004</v>
      </c>
      <c r="J83" s="70">
        <v>36.319999999999993</v>
      </c>
      <c r="K83" s="70">
        <v>19.874399999999984</v>
      </c>
      <c r="L83" s="71">
        <v>0</v>
      </c>
      <c r="M83" s="71">
        <v>0</v>
      </c>
      <c r="N83" s="71">
        <v>0</v>
      </c>
      <c r="O83" s="71">
        <v>0</v>
      </c>
      <c r="P83" s="70">
        <v>25.400000000000006</v>
      </c>
      <c r="Q83" s="70">
        <v>14.480000000000004</v>
      </c>
      <c r="R83" s="70">
        <v>36.319999999999993</v>
      </c>
      <c r="S83" s="70">
        <v>19.874399999999984</v>
      </c>
      <c r="T83" s="71">
        <v>25.400000000000006</v>
      </c>
      <c r="U83" s="71">
        <v>14.480000000000004</v>
      </c>
      <c r="V83" s="71">
        <v>36.319999999999993</v>
      </c>
      <c r="W83" s="71">
        <v>19.874399999999984</v>
      </c>
      <c r="X83" s="70">
        <v>0</v>
      </c>
      <c r="Y83" s="70">
        <v>0</v>
      </c>
      <c r="Z83" s="70">
        <v>0</v>
      </c>
      <c r="AA83" s="70">
        <v>0</v>
      </c>
      <c r="AB83" s="71">
        <v>12.361999999999998</v>
      </c>
      <c r="AC83" s="71">
        <v>0</v>
      </c>
      <c r="AD83" s="71">
        <v>27.297999999999991</v>
      </c>
      <c r="AE83" s="71">
        <v>31.141220666666644</v>
      </c>
      <c r="AF83" s="70">
        <v>0</v>
      </c>
      <c r="AG83" s="70">
        <v>0</v>
      </c>
      <c r="AH83" s="70">
        <v>0</v>
      </c>
      <c r="AI83" s="70">
        <v>0</v>
      </c>
      <c r="AJ83" s="72" t="s">
        <v>931</v>
      </c>
    </row>
    <row r="84" spans="1:36" customFormat="1" x14ac:dyDescent="0.25">
      <c r="A84" s="68">
        <v>78</v>
      </c>
      <c r="B84" s="69" t="s">
        <v>254</v>
      </c>
      <c r="C84" s="69" t="s">
        <v>1000</v>
      </c>
      <c r="D84" s="69" t="s">
        <v>497</v>
      </c>
      <c r="E84" s="69" t="s">
        <v>262</v>
      </c>
      <c r="F84" s="69" t="s">
        <v>481</v>
      </c>
      <c r="G84" s="69" t="s">
        <v>237</v>
      </c>
      <c r="H84" s="70">
        <v>1</v>
      </c>
      <c r="I84" s="70">
        <v>0.3</v>
      </c>
      <c r="J84" s="70">
        <v>3</v>
      </c>
      <c r="K84" s="70">
        <v>0.32722222222222214</v>
      </c>
      <c r="L84" s="71">
        <v>0</v>
      </c>
      <c r="M84" s="71">
        <v>0</v>
      </c>
      <c r="N84" s="71">
        <v>0</v>
      </c>
      <c r="O84" s="71">
        <v>0</v>
      </c>
      <c r="P84" s="70">
        <v>1</v>
      </c>
      <c r="Q84" s="70">
        <v>0.3</v>
      </c>
      <c r="R84" s="70">
        <v>3</v>
      </c>
      <c r="S84" s="70">
        <v>0.32722222222222214</v>
      </c>
      <c r="T84" s="71">
        <v>1</v>
      </c>
      <c r="U84" s="71">
        <v>0.3</v>
      </c>
      <c r="V84" s="71">
        <v>3</v>
      </c>
      <c r="W84" s="71">
        <v>0.32722222222222214</v>
      </c>
      <c r="X84" s="70">
        <v>0</v>
      </c>
      <c r="Y84" s="70">
        <v>0</v>
      </c>
      <c r="Z84" s="70">
        <v>0</v>
      </c>
      <c r="AA84" s="70">
        <v>0</v>
      </c>
      <c r="AB84" s="71">
        <v>0.97800000000000009</v>
      </c>
      <c r="AC84" s="71">
        <v>0.3</v>
      </c>
      <c r="AD84" s="71">
        <v>3</v>
      </c>
      <c r="AE84" s="71">
        <v>0.32883799999999991</v>
      </c>
      <c r="AF84" s="70">
        <v>0</v>
      </c>
      <c r="AG84" s="70">
        <v>0</v>
      </c>
      <c r="AH84" s="70">
        <v>0</v>
      </c>
      <c r="AI84" s="70">
        <v>0</v>
      </c>
      <c r="AJ84" s="72" t="s">
        <v>931</v>
      </c>
    </row>
    <row r="85" spans="1:36" customFormat="1" x14ac:dyDescent="0.25">
      <c r="A85" s="68">
        <v>79</v>
      </c>
      <c r="B85" s="69" t="s">
        <v>254</v>
      </c>
      <c r="C85" s="69" t="s">
        <v>1000</v>
      </c>
      <c r="D85" s="69" t="s">
        <v>498</v>
      </c>
      <c r="E85" s="69" t="s">
        <v>259</v>
      </c>
      <c r="F85" s="69" t="s">
        <v>481</v>
      </c>
      <c r="G85" s="69" t="s">
        <v>237</v>
      </c>
      <c r="H85" s="70">
        <v>1</v>
      </c>
      <c r="I85" s="70">
        <v>0.3</v>
      </c>
      <c r="J85" s="70">
        <v>3</v>
      </c>
      <c r="K85" s="70">
        <v>0.32722222222222214</v>
      </c>
      <c r="L85" s="71">
        <v>0</v>
      </c>
      <c r="M85" s="71">
        <v>0</v>
      </c>
      <c r="N85" s="71">
        <v>0</v>
      </c>
      <c r="O85" s="71">
        <v>0</v>
      </c>
      <c r="P85" s="70">
        <v>1</v>
      </c>
      <c r="Q85" s="70">
        <v>0.3</v>
      </c>
      <c r="R85" s="70">
        <v>3</v>
      </c>
      <c r="S85" s="70">
        <v>0.32722222222222214</v>
      </c>
      <c r="T85" s="71">
        <v>1</v>
      </c>
      <c r="U85" s="71">
        <v>0.3</v>
      </c>
      <c r="V85" s="71">
        <v>3</v>
      </c>
      <c r="W85" s="71">
        <v>0.32722222222222214</v>
      </c>
      <c r="X85" s="70">
        <v>0</v>
      </c>
      <c r="Y85" s="70">
        <v>0</v>
      </c>
      <c r="Z85" s="70">
        <v>0</v>
      </c>
      <c r="AA85" s="70">
        <v>0</v>
      </c>
      <c r="AB85" s="71">
        <v>0.97800000000000009</v>
      </c>
      <c r="AC85" s="71">
        <v>0.3</v>
      </c>
      <c r="AD85" s="71">
        <v>3</v>
      </c>
      <c r="AE85" s="71">
        <v>0.32883799999999991</v>
      </c>
      <c r="AF85" s="70">
        <v>0</v>
      </c>
      <c r="AG85" s="70">
        <v>0</v>
      </c>
      <c r="AH85" s="70">
        <v>0</v>
      </c>
      <c r="AI85" s="70">
        <v>0</v>
      </c>
      <c r="AJ85" s="72" t="s">
        <v>931</v>
      </c>
    </row>
    <row r="86" spans="1:36" customFormat="1" x14ac:dyDescent="0.25">
      <c r="A86" s="68">
        <v>80</v>
      </c>
      <c r="B86" s="69" t="s">
        <v>254</v>
      </c>
      <c r="C86" s="69" t="s">
        <v>1000</v>
      </c>
      <c r="D86" s="69" t="s">
        <v>499</v>
      </c>
      <c r="E86" s="69" t="s">
        <v>417</v>
      </c>
      <c r="F86" s="69" t="s">
        <v>481</v>
      </c>
      <c r="G86" s="69" t="s">
        <v>237</v>
      </c>
      <c r="H86" s="70">
        <v>9</v>
      </c>
      <c r="I86" s="70">
        <v>7.2</v>
      </c>
      <c r="J86" s="70">
        <v>10.799999999999999</v>
      </c>
      <c r="K86" s="70">
        <v>0.53999999999999915</v>
      </c>
      <c r="L86" s="71">
        <v>0</v>
      </c>
      <c r="M86" s="71">
        <v>0</v>
      </c>
      <c r="N86" s="71">
        <v>0</v>
      </c>
      <c r="O86" s="71">
        <v>0</v>
      </c>
      <c r="P86" s="70">
        <v>9</v>
      </c>
      <c r="Q86" s="70">
        <v>7.2</v>
      </c>
      <c r="R86" s="70">
        <v>10.799999999999999</v>
      </c>
      <c r="S86" s="70">
        <v>0.53999999999999915</v>
      </c>
      <c r="T86" s="71">
        <v>9</v>
      </c>
      <c r="U86" s="71">
        <v>7.2</v>
      </c>
      <c r="V86" s="71">
        <v>10.799999999999999</v>
      </c>
      <c r="W86" s="71">
        <v>0.53999999999999915</v>
      </c>
      <c r="X86" s="70">
        <v>0</v>
      </c>
      <c r="Y86" s="70">
        <v>0</v>
      </c>
      <c r="Z86" s="70">
        <v>0</v>
      </c>
      <c r="AA86" s="70">
        <v>0</v>
      </c>
      <c r="AB86" s="71">
        <v>2.1999999999999988</v>
      </c>
      <c r="AC86" s="71">
        <v>1.7599999999999991</v>
      </c>
      <c r="AD86" s="71">
        <v>2.6399999999999983</v>
      </c>
      <c r="AE86" s="71">
        <v>3.2266666666666513E-2</v>
      </c>
      <c r="AF86" s="70">
        <v>0</v>
      </c>
      <c r="AG86" s="70">
        <v>0</v>
      </c>
      <c r="AH86" s="70">
        <v>0</v>
      </c>
      <c r="AI86" s="70">
        <v>0</v>
      </c>
      <c r="AJ86" s="72" t="s">
        <v>931</v>
      </c>
    </row>
    <row r="87" spans="1:36" customFormat="1" x14ac:dyDescent="0.25">
      <c r="A87" s="68">
        <v>81</v>
      </c>
      <c r="B87" s="69" t="s">
        <v>254</v>
      </c>
      <c r="C87" s="69" t="s">
        <v>1000</v>
      </c>
      <c r="D87" s="69" t="s">
        <v>500</v>
      </c>
      <c r="E87" s="69" t="s">
        <v>419</v>
      </c>
      <c r="F87" s="69" t="s">
        <v>481</v>
      </c>
      <c r="G87" s="69" t="s">
        <v>237</v>
      </c>
      <c r="H87" s="70">
        <v>54.6</v>
      </c>
      <c r="I87" s="70">
        <v>43.680000000000007</v>
      </c>
      <c r="J87" s="70">
        <v>65.52</v>
      </c>
      <c r="K87" s="70">
        <v>19.874400000000072</v>
      </c>
      <c r="L87" s="71">
        <v>0</v>
      </c>
      <c r="M87" s="71">
        <v>0</v>
      </c>
      <c r="N87" s="71">
        <v>0</v>
      </c>
      <c r="O87" s="71">
        <v>0</v>
      </c>
      <c r="P87" s="70">
        <v>54.6</v>
      </c>
      <c r="Q87" s="70">
        <v>43.680000000000007</v>
      </c>
      <c r="R87" s="70">
        <v>65.52</v>
      </c>
      <c r="S87" s="70">
        <v>19.874400000000072</v>
      </c>
      <c r="T87" s="71">
        <v>54.6</v>
      </c>
      <c r="U87" s="71">
        <v>43.680000000000007</v>
      </c>
      <c r="V87" s="71">
        <v>65.52</v>
      </c>
      <c r="W87" s="71">
        <v>19.874400000000072</v>
      </c>
      <c r="X87" s="70">
        <v>0</v>
      </c>
      <c r="Y87" s="70">
        <v>0</v>
      </c>
      <c r="Z87" s="70">
        <v>0</v>
      </c>
      <c r="AA87" s="70">
        <v>0</v>
      </c>
      <c r="AB87" s="71">
        <v>74.680000000000007</v>
      </c>
      <c r="AC87" s="71">
        <v>59.744000000000007</v>
      </c>
      <c r="AD87" s="71">
        <v>89.616</v>
      </c>
      <c r="AE87" s="71">
        <v>37.180682666666549</v>
      </c>
      <c r="AF87" s="70">
        <v>0</v>
      </c>
      <c r="AG87" s="70">
        <v>0</v>
      </c>
      <c r="AH87" s="70">
        <v>0</v>
      </c>
      <c r="AI87" s="70">
        <v>0</v>
      </c>
      <c r="AJ87" s="72" t="s">
        <v>931</v>
      </c>
    </row>
    <row r="88" spans="1:36" customFormat="1" x14ac:dyDescent="0.25">
      <c r="A88" s="68">
        <v>82</v>
      </c>
      <c r="B88" s="69" t="s">
        <v>254</v>
      </c>
      <c r="C88" s="69" t="s">
        <v>1000</v>
      </c>
      <c r="D88" s="69" t="s">
        <v>501</v>
      </c>
      <c r="E88" s="69" t="s">
        <v>421</v>
      </c>
      <c r="F88" s="69" t="s">
        <v>481</v>
      </c>
      <c r="G88" s="69" t="s">
        <v>237</v>
      </c>
      <c r="H88" s="70">
        <v>8</v>
      </c>
      <c r="I88" s="70">
        <v>6.4</v>
      </c>
      <c r="J88" s="70">
        <v>8</v>
      </c>
      <c r="K88" s="70">
        <v>0.14222222222222233</v>
      </c>
      <c r="L88" s="71">
        <v>0</v>
      </c>
      <c r="M88" s="71">
        <v>0</v>
      </c>
      <c r="N88" s="71">
        <v>0</v>
      </c>
      <c r="O88" s="71">
        <v>0</v>
      </c>
      <c r="P88" s="70">
        <v>8</v>
      </c>
      <c r="Q88" s="70">
        <v>6.4</v>
      </c>
      <c r="R88" s="70">
        <v>8</v>
      </c>
      <c r="S88" s="70">
        <v>0.14222222222222233</v>
      </c>
      <c r="T88" s="71">
        <v>8</v>
      </c>
      <c r="U88" s="71">
        <v>6.4</v>
      </c>
      <c r="V88" s="71">
        <v>8</v>
      </c>
      <c r="W88" s="71">
        <v>0.14222222222222233</v>
      </c>
      <c r="X88" s="70">
        <v>0</v>
      </c>
      <c r="Y88" s="70">
        <v>0</v>
      </c>
      <c r="Z88" s="70">
        <v>0</v>
      </c>
      <c r="AA88" s="70">
        <v>0</v>
      </c>
      <c r="AB88" s="71">
        <v>7.8240000000000007</v>
      </c>
      <c r="AC88" s="71">
        <v>7.8240000000000007</v>
      </c>
      <c r="AD88" s="71">
        <v>7.8240000000000007</v>
      </c>
      <c r="AE88" s="71">
        <v>7.894919286223335E-16</v>
      </c>
      <c r="AF88" s="70">
        <v>0</v>
      </c>
      <c r="AG88" s="70">
        <v>0</v>
      </c>
      <c r="AH88" s="70">
        <v>0</v>
      </c>
      <c r="AI88" s="70">
        <v>0</v>
      </c>
      <c r="AJ88" s="72" t="s">
        <v>931</v>
      </c>
    </row>
    <row r="89" spans="1:36" customFormat="1" x14ac:dyDescent="0.25">
      <c r="A89" s="68">
        <v>83</v>
      </c>
      <c r="B89" s="69" t="s">
        <v>254</v>
      </c>
      <c r="C89" s="69" t="s">
        <v>1000</v>
      </c>
      <c r="D89" s="69" t="s">
        <v>502</v>
      </c>
      <c r="E89" s="69" t="s">
        <v>423</v>
      </c>
      <c r="F89" s="69" t="s">
        <v>487</v>
      </c>
      <c r="G89" s="69" t="s">
        <v>237</v>
      </c>
      <c r="H89" s="70">
        <v>41.400000000000006</v>
      </c>
      <c r="I89" s="70">
        <v>32.4</v>
      </c>
      <c r="J89" s="70">
        <v>50.4</v>
      </c>
      <c r="K89" s="70">
        <v>13.500000000000025</v>
      </c>
      <c r="L89" s="71">
        <v>0</v>
      </c>
      <c r="M89" s="71">
        <v>0</v>
      </c>
      <c r="N89" s="71">
        <v>0</v>
      </c>
      <c r="O89" s="71">
        <v>0</v>
      </c>
      <c r="P89" s="70">
        <v>41.4</v>
      </c>
      <c r="Q89" s="70">
        <v>32.4</v>
      </c>
      <c r="R89" s="70">
        <v>50.4</v>
      </c>
      <c r="S89" s="70">
        <v>13.500000000000025</v>
      </c>
      <c r="T89" s="71">
        <v>41.4</v>
      </c>
      <c r="U89" s="71">
        <v>32.4</v>
      </c>
      <c r="V89" s="71">
        <v>50.4</v>
      </c>
      <c r="W89" s="71">
        <v>13.500000000000025</v>
      </c>
      <c r="X89" s="70">
        <v>0</v>
      </c>
      <c r="Y89" s="70">
        <v>0</v>
      </c>
      <c r="Z89" s="70">
        <v>0</v>
      </c>
      <c r="AA89" s="70">
        <v>0</v>
      </c>
      <c r="AB89" s="71">
        <v>13.812998380185185</v>
      </c>
      <c r="AC89" s="71">
        <v>13.81</v>
      </c>
      <c r="AD89" s="71">
        <v>13.812998380185185</v>
      </c>
      <c r="AE89" s="71">
        <v>4.9946020573719978E-7</v>
      </c>
      <c r="AF89" s="70">
        <v>0</v>
      </c>
      <c r="AG89" s="70">
        <v>0</v>
      </c>
      <c r="AH89" s="70">
        <v>0</v>
      </c>
      <c r="AI89" s="70">
        <v>0</v>
      </c>
      <c r="AJ89" s="72" t="s">
        <v>931</v>
      </c>
    </row>
    <row r="90" spans="1:36" customFormat="1" x14ac:dyDescent="0.25">
      <c r="A90" s="68">
        <v>84</v>
      </c>
      <c r="B90" s="69" t="s">
        <v>254</v>
      </c>
      <c r="C90" s="69" t="s">
        <v>1000</v>
      </c>
      <c r="D90" s="69" t="s">
        <v>503</v>
      </c>
      <c r="E90" s="69" t="s">
        <v>265</v>
      </c>
      <c r="F90" s="69" t="s">
        <v>487</v>
      </c>
      <c r="G90" s="69" t="s">
        <v>237</v>
      </c>
      <c r="H90" s="70">
        <v>4</v>
      </c>
      <c r="I90" s="70">
        <v>3.2</v>
      </c>
      <c r="J90" s="70">
        <v>4.8</v>
      </c>
      <c r="K90" s="70">
        <v>0.10666666666666676</v>
      </c>
      <c r="L90" s="71">
        <v>0</v>
      </c>
      <c r="M90" s="71">
        <v>0</v>
      </c>
      <c r="N90" s="71">
        <v>0</v>
      </c>
      <c r="O90" s="71">
        <v>0</v>
      </c>
      <c r="P90" s="70">
        <v>4</v>
      </c>
      <c r="Q90" s="70">
        <v>3.2</v>
      </c>
      <c r="R90" s="70">
        <v>4.8</v>
      </c>
      <c r="S90" s="70">
        <v>0.10666666666666676</v>
      </c>
      <c r="T90" s="71">
        <v>4</v>
      </c>
      <c r="U90" s="71">
        <v>3.2</v>
      </c>
      <c r="V90" s="71">
        <v>4.8</v>
      </c>
      <c r="W90" s="71">
        <v>0.10666666666666676</v>
      </c>
      <c r="X90" s="70">
        <v>0</v>
      </c>
      <c r="Y90" s="70">
        <v>0</v>
      </c>
      <c r="Z90" s="70">
        <v>0</v>
      </c>
      <c r="AA90" s="70">
        <v>0</v>
      </c>
      <c r="AB90" s="71">
        <v>4</v>
      </c>
      <c r="AC90" s="71">
        <v>3.2</v>
      </c>
      <c r="AD90" s="71">
        <v>4.8</v>
      </c>
      <c r="AE90" s="71">
        <v>0.10666666666666676</v>
      </c>
      <c r="AF90" s="70">
        <v>0</v>
      </c>
      <c r="AG90" s="70">
        <v>0</v>
      </c>
      <c r="AH90" s="70">
        <v>0</v>
      </c>
      <c r="AI90" s="70">
        <v>0</v>
      </c>
      <c r="AJ90" s="72" t="s">
        <v>931</v>
      </c>
    </row>
    <row r="91" spans="1:36" customFormat="1" x14ac:dyDescent="0.25">
      <c r="A91" s="68">
        <v>85</v>
      </c>
      <c r="B91" s="69" t="s">
        <v>254</v>
      </c>
      <c r="C91" s="69" t="s">
        <v>1000</v>
      </c>
      <c r="D91" s="69" t="s">
        <v>504</v>
      </c>
      <c r="E91" s="69" t="s">
        <v>425</v>
      </c>
      <c r="F91" s="69" t="s">
        <v>487</v>
      </c>
      <c r="G91" s="69" t="s">
        <v>237</v>
      </c>
      <c r="H91" s="70">
        <v>4</v>
      </c>
      <c r="I91" s="70">
        <v>3.2</v>
      </c>
      <c r="J91" s="70">
        <v>4.8</v>
      </c>
      <c r="K91" s="70">
        <v>0.10666666666666676</v>
      </c>
      <c r="L91" s="71">
        <v>0</v>
      </c>
      <c r="M91" s="71">
        <v>0</v>
      </c>
      <c r="N91" s="71">
        <v>0</v>
      </c>
      <c r="O91" s="71">
        <v>0</v>
      </c>
      <c r="P91" s="70">
        <v>4</v>
      </c>
      <c r="Q91" s="70">
        <v>3.2</v>
      </c>
      <c r="R91" s="70">
        <v>4.8</v>
      </c>
      <c r="S91" s="70">
        <v>0.10666666666666676</v>
      </c>
      <c r="T91" s="71">
        <v>4</v>
      </c>
      <c r="U91" s="71">
        <v>3.2</v>
      </c>
      <c r="V91" s="71">
        <v>4.8</v>
      </c>
      <c r="W91" s="71">
        <v>0.10666666666666676</v>
      </c>
      <c r="X91" s="70">
        <v>0</v>
      </c>
      <c r="Y91" s="70">
        <v>0</v>
      </c>
      <c r="Z91" s="70">
        <v>0</v>
      </c>
      <c r="AA91" s="70">
        <v>0</v>
      </c>
      <c r="AB91" s="71">
        <v>82.187001619814822</v>
      </c>
      <c r="AC91" s="71">
        <v>58.987001619814826</v>
      </c>
      <c r="AD91" s="71">
        <v>82.187001619814822</v>
      </c>
      <c r="AE91" s="71">
        <v>29.902222222222157</v>
      </c>
      <c r="AF91" s="70">
        <v>0</v>
      </c>
      <c r="AG91" s="70">
        <v>0</v>
      </c>
      <c r="AH91" s="70">
        <v>0</v>
      </c>
      <c r="AI91" s="70">
        <v>0</v>
      </c>
      <c r="AJ91" s="72" t="s">
        <v>931</v>
      </c>
    </row>
    <row r="92" spans="1:36" customFormat="1" x14ac:dyDescent="0.25">
      <c r="A92" s="68">
        <v>86</v>
      </c>
      <c r="B92" s="69" t="s">
        <v>254</v>
      </c>
      <c r="C92" s="69" t="s">
        <v>1000</v>
      </c>
      <c r="D92" s="69" t="s">
        <v>505</v>
      </c>
      <c r="E92" s="69" t="s">
        <v>427</v>
      </c>
      <c r="F92" s="69" t="s">
        <v>487</v>
      </c>
      <c r="G92" s="69" t="s">
        <v>237</v>
      </c>
      <c r="H92" s="70">
        <v>50.6</v>
      </c>
      <c r="I92" s="70">
        <v>41.6</v>
      </c>
      <c r="J92" s="70">
        <v>59.6</v>
      </c>
      <c r="K92" s="70">
        <v>13.499999999999948</v>
      </c>
      <c r="L92" s="71">
        <v>0</v>
      </c>
      <c r="M92" s="71">
        <v>0</v>
      </c>
      <c r="N92" s="71">
        <v>0</v>
      </c>
      <c r="O92" s="71">
        <v>0</v>
      </c>
      <c r="P92" s="70">
        <v>50.6</v>
      </c>
      <c r="Q92" s="70">
        <v>41.6</v>
      </c>
      <c r="R92" s="70">
        <v>59.6</v>
      </c>
      <c r="S92" s="70">
        <v>13.499999999999948</v>
      </c>
      <c r="T92" s="71">
        <v>50.6</v>
      </c>
      <c r="U92" s="71">
        <v>41.6</v>
      </c>
      <c r="V92" s="71">
        <v>59.6</v>
      </c>
      <c r="W92" s="71">
        <v>13.499999999999948</v>
      </c>
      <c r="X92" s="70">
        <v>0</v>
      </c>
      <c r="Y92" s="70">
        <v>0</v>
      </c>
      <c r="Z92" s="70">
        <v>0</v>
      </c>
      <c r="AA92" s="70">
        <v>0</v>
      </c>
      <c r="AB92" s="71">
        <v>0</v>
      </c>
      <c r="AC92" s="71">
        <v>0</v>
      </c>
      <c r="AD92" s="71">
        <v>23.199999999999996</v>
      </c>
      <c r="AE92" s="71">
        <v>29.902222222222207</v>
      </c>
      <c r="AF92" s="70">
        <v>0</v>
      </c>
      <c r="AG92" s="70">
        <v>0</v>
      </c>
      <c r="AH92" s="70">
        <v>0</v>
      </c>
      <c r="AI92" s="70">
        <v>0</v>
      </c>
      <c r="AJ92" s="72" t="s">
        <v>931</v>
      </c>
    </row>
    <row r="93" spans="1:36" customFormat="1" x14ac:dyDescent="0.25">
      <c r="A93" s="68">
        <v>87</v>
      </c>
      <c r="B93" s="69" t="s">
        <v>254</v>
      </c>
      <c r="C93" s="69" t="s">
        <v>1000</v>
      </c>
      <c r="D93" s="69" t="s">
        <v>1034</v>
      </c>
      <c r="E93" s="69" t="s">
        <v>1027</v>
      </c>
      <c r="F93" s="69" t="s">
        <v>1028</v>
      </c>
      <c r="G93" s="69" t="s">
        <v>237</v>
      </c>
      <c r="H93" s="70"/>
      <c r="I93" s="70"/>
      <c r="J93" s="70"/>
      <c r="K93" s="70"/>
      <c r="L93" s="71"/>
      <c r="M93" s="71"/>
      <c r="N93" s="71"/>
      <c r="O93" s="71"/>
      <c r="P93" s="70"/>
      <c r="Q93" s="70"/>
      <c r="R93" s="70"/>
      <c r="S93" s="70"/>
      <c r="T93" s="71"/>
      <c r="U93" s="71"/>
      <c r="V93" s="71"/>
      <c r="W93" s="71"/>
      <c r="X93" s="70"/>
      <c r="Y93" s="70"/>
      <c r="Z93" s="70"/>
      <c r="AA93" s="70"/>
      <c r="AB93" s="71">
        <v>11</v>
      </c>
      <c r="AC93" s="71">
        <v>8.1999999999999993</v>
      </c>
      <c r="AD93" s="71">
        <v>13</v>
      </c>
      <c r="AE93" s="71">
        <v>0.96888888888889024</v>
      </c>
      <c r="AF93" s="70"/>
      <c r="AG93" s="70"/>
      <c r="AH93" s="70"/>
      <c r="AI93" s="70"/>
      <c r="AJ93" s="72" t="s">
        <v>931</v>
      </c>
    </row>
    <row r="94" spans="1:36" customFormat="1" x14ac:dyDescent="0.25">
      <c r="A94" s="68">
        <v>88</v>
      </c>
      <c r="B94" s="69" t="s">
        <v>927</v>
      </c>
      <c r="C94" s="69" t="s">
        <v>1000</v>
      </c>
      <c r="D94" s="69" t="s">
        <v>506</v>
      </c>
      <c r="E94" s="69" t="s">
        <v>429</v>
      </c>
      <c r="F94" s="69" t="s">
        <v>1031</v>
      </c>
      <c r="G94" s="69" t="s">
        <v>237</v>
      </c>
      <c r="H94" s="70">
        <v>0.54600000000000004</v>
      </c>
      <c r="I94" s="70">
        <v>0.54600000000000004</v>
      </c>
      <c r="J94" s="70">
        <v>0.81899999999999995</v>
      </c>
      <c r="K94" s="70">
        <v>4.1405000000000001E-3</v>
      </c>
      <c r="L94" s="71">
        <v>0</v>
      </c>
      <c r="M94" s="71">
        <v>0</v>
      </c>
      <c r="N94" s="71">
        <v>0</v>
      </c>
      <c r="O94" s="71">
        <v>0</v>
      </c>
      <c r="P94" s="70">
        <v>0.54600000000000004</v>
      </c>
      <c r="Q94" s="70">
        <v>0.54600000000000004</v>
      </c>
      <c r="R94" s="70">
        <v>0.81899999999999995</v>
      </c>
      <c r="S94" s="70">
        <v>4.1405000000000001E-3</v>
      </c>
      <c r="T94" s="71">
        <v>0.54600000000000004</v>
      </c>
      <c r="U94" s="71">
        <v>0.54600000000000004</v>
      </c>
      <c r="V94" s="71">
        <v>0.81899999999999995</v>
      </c>
      <c r="W94" s="71">
        <v>4.1405000000000001E-3</v>
      </c>
      <c r="X94" s="70">
        <v>0</v>
      </c>
      <c r="Y94" s="70">
        <v>0</v>
      </c>
      <c r="Z94" s="70">
        <v>0</v>
      </c>
      <c r="AA94" s="70">
        <v>0</v>
      </c>
      <c r="AB94" s="71">
        <v>0.9335</v>
      </c>
      <c r="AC94" s="71">
        <v>0.74680000000000002</v>
      </c>
      <c r="AD94" s="71">
        <v>1.1201999999999999</v>
      </c>
      <c r="AE94" s="71">
        <v>5.8094816666666525E-3</v>
      </c>
      <c r="AF94" s="70">
        <v>0</v>
      </c>
      <c r="AG94" s="70">
        <v>0</v>
      </c>
      <c r="AH94" s="70">
        <v>0</v>
      </c>
      <c r="AI94" s="70">
        <v>0</v>
      </c>
      <c r="AJ94" s="72" t="s">
        <v>931</v>
      </c>
    </row>
    <row r="95" spans="1:36" customFormat="1" x14ac:dyDescent="0.25">
      <c r="A95" s="68">
        <v>89</v>
      </c>
      <c r="B95" s="69" t="s">
        <v>927</v>
      </c>
      <c r="C95" s="69" t="s">
        <v>1000</v>
      </c>
      <c r="D95" s="69" t="s">
        <v>507</v>
      </c>
      <c r="E95" s="69" t="s">
        <v>432</v>
      </c>
      <c r="F95" s="69" t="s">
        <v>1032</v>
      </c>
      <c r="G95" s="69" t="s">
        <v>237</v>
      </c>
      <c r="H95" s="70">
        <v>0.46</v>
      </c>
      <c r="I95" s="70">
        <v>0.36</v>
      </c>
      <c r="J95" s="70">
        <v>0.56000000000000005</v>
      </c>
      <c r="K95" s="70">
        <v>1.6666666666666681E-3</v>
      </c>
      <c r="L95" s="71">
        <v>0</v>
      </c>
      <c r="M95" s="71">
        <v>0</v>
      </c>
      <c r="N95" s="71">
        <v>0</v>
      </c>
      <c r="O95" s="71">
        <v>0</v>
      </c>
      <c r="P95" s="70">
        <v>0.46</v>
      </c>
      <c r="Q95" s="70">
        <v>0.36</v>
      </c>
      <c r="R95" s="70">
        <v>0.56000000000000005</v>
      </c>
      <c r="S95" s="70">
        <v>1.6666666666666681E-3</v>
      </c>
      <c r="T95" s="71">
        <v>0.46</v>
      </c>
      <c r="U95" s="71">
        <v>0.36</v>
      </c>
      <c r="V95" s="71">
        <v>0.56000000000000005</v>
      </c>
      <c r="W95" s="71">
        <v>1.6666666666666681E-3</v>
      </c>
      <c r="X95" s="70">
        <v>0</v>
      </c>
      <c r="Y95" s="70">
        <v>0</v>
      </c>
      <c r="Z95" s="70">
        <v>0</v>
      </c>
      <c r="AA95" s="70">
        <v>0</v>
      </c>
      <c r="AB95" s="71">
        <v>0.15347775977983538</v>
      </c>
      <c r="AC95" s="71">
        <v>0.15344444444444444</v>
      </c>
      <c r="AD95" s="71">
        <v>0.15347775977983538</v>
      </c>
      <c r="AE95" s="71">
        <v>6.1661754406176301E-11</v>
      </c>
      <c r="AF95" s="70">
        <v>0</v>
      </c>
      <c r="AG95" s="70">
        <v>0</v>
      </c>
      <c r="AH95" s="70">
        <v>0</v>
      </c>
      <c r="AI95" s="70">
        <v>0</v>
      </c>
      <c r="AJ95" s="72" t="s">
        <v>931</v>
      </c>
    </row>
    <row r="96" spans="1:36" customFormat="1" x14ac:dyDescent="0.25">
      <c r="A96" s="68">
        <v>90</v>
      </c>
      <c r="B96" s="69" t="s">
        <v>927</v>
      </c>
      <c r="C96" s="69" t="s">
        <v>1000</v>
      </c>
      <c r="D96" s="69" t="s">
        <v>508</v>
      </c>
      <c r="E96" s="69" t="s">
        <v>434</v>
      </c>
      <c r="F96" s="69" t="s">
        <v>1033</v>
      </c>
      <c r="G96" s="69" t="s">
        <v>237</v>
      </c>
      <c r="H96" s="70">
        <v>0.73</v>
      </c>
      <c r="I96" s="70">
        <v>0.57999999999999996</v>
      </c>
      <c r="J96" s="70">
        <v>0.88</v>
      </c>
      <c r="K96" s="70">
        <v>3.7499999999999999E-3</v>
      </c>
      <c r="L96" s="71">
        <v>0</v>
      </c>
      <c r="M96" s="71">
        <v>0</v>
      </c>
      <c r="N96" s="71">
        <v>0</v>
      </c>
      <c r="O96" s="71">
        <v>0</v>
      </c>
      <c r="P96" s="70">
        <v>0.73</v>
      </c>
      <c r="Q96" s="70">
        <v>0.57999999999999996</v>
      </c>
      <c r="R96" s="70">
        <v>0.88</v>
      </c>
      <c r="S96" s="70">
        <v>3.7499999999999999E-3</v>
      </c>
      <c r="T96" s="71">
        <v>0.73</v>
      </c>
      <c r="U96" s="71">
        <v>0.57999999999999996</v>
      </c>
      <c r="V96" s="71">
        <v>0.88</v>
      </c>
      <c r="W96" s="71">
        <v>3.7499999999999999E-3</v>
      </c>
      <c r="X96" s="70">
        <v>0</v>
      </c>
      <c r="Y96" s="70">
        <v>0</v>
      </c>
      <c r="Z96" s="70">
        <v>0</v>
      </c>
      <c r="AA96" s="70">
        <v>0</v>
      </c>
      <c r="AB96" s="71">
        <v>0.73</v>
      </c>
      <c r="AC96" s="71">
        <v>0.57999999999999996</v>
      </c>
      <c r="AD96" s="71">
        <v>0.88</v>
      </c>
      <c r="AE96" s="71">
        <v>3.7499999999999999E-3</v>
      </c>
      <c r="AF96" s="70">
        <v>0</v>
      </c>
      <c r="AG96" s="70">
        <v>0</v>
      </c>
      <c r="AH96" s="70">
        <v>0</v>
      </c>
      <c r="AI96" s="70">
        <v>0</v>
      </c>
      <c r="AJ96" s="72" t="s">
        <v>931</v>
      </c>
    </row>
    <row r="97" spans="1:36" customFormat="1" x14ac:dyDescent="0.25">
      <c r="A97" s="68">
        <v>91</v>
      </c>
      <c r="B97" s="69" t="s">
        <v>254</v>
      </c>
      <c r="C97" s="69" t="s">
        <v>1001</v>
      </c>
      <c r="D97" s="69" t="s">
        <v>455</v>
      </c>
      <c r="E97" s="69" t="s">
        <v>413</v>
      </c>
      <c r="F97" s="69" t="s">
        <v>456</v>
      </c>
      <c r="G97" s="69" t="s">
        <v>237</v>
      </c>
      <c r="H97" s="70">
        <v>1</v>
      </c>
      <c r="I97" s="70">
        <v>0.3</v>
      </c>
      <c r="J97" s="70">
        <v>3</v>
      </c>
      <c r="K97" s="70">
        <v>0.32722222222222214</v>
      </c>
      <c r="L97" s="71">
        <v>0</v>
      </c>
      <c r="M97" s="71">
        <v>0</v>
      </c>
      <c r="N97" s="71">
        <v>0</v>
      </c>
      <c r="O97" s="71">
        <v>0</v>
      </c>
      <c r="P97" s="70">
        <v>1.0000000000000002</v>
      </c>
      <c r="Q97" s="70">
        <v>0.3</v>
      </c>
      <c r="R97" s="70">
        <v>3</v>
      </c>
      <c r="S97" s="70">
        <v>0.32722222222222208</v>
      </c>
      <c r="T97" s="71">
        <v>1.0000000000000002</v>
      </c>
      <c r="U97" s="71">
        <v>0.3</v>
      </c>
      <c r="V97" s="71">
        <v>3</v>
      </c>
      <c r="W97" s="71">
        <v>0.32722222222222208</v>
      </c>
      <c r="X97" s="70">
        <v>1</v>
      </c>
      <c r="Y97" s="70">
        <v>0.3</v>
      </c>
      <c r="Z97" s="70">
        <v>3</v>
      </c>
      <c r="AA97" s="70">
        <v>0.32722222222222214</v>
      </c>
      <c r="AB97" s="71">
        <v>0.1</v>
      </c>
      <c r="AC97" s="71">
        <v>8.0000000000000016E-2</v>
      </c>
      <c r="AD97" s="71">
        <v>0.12</v>
      </c>
      <c r="AE97" s="71">
        <v>6.6666666666666738E-5</v>
      </c>
      <c r="AF97" s="70">
        <v>0</v>
      </c>
      <c r="AG97" s="70">
        <v>0</v>
      </c>
      <c r="AH97" s="70">
        <v>0</v>
      </c>
      <c r="AI97" s="70">
        <v>0</v>
      </c>
      <c r="AJ97" s="72" t="s">
        <v>932</v>
      </c>
    </row>
    <row r="98" spans="1:36" customFormat="1" x14ac:dyDescent="0.25">
      <c r="A98" s="68">
        <v>92</v>
      </c>
      <c r="B98" s="69" t="s">
        <v>254</v>
      </c>
      <c r="C98" s="69" t="s">
        <v>1001</v>
      </c>
      <c r="D98" s="69" t="s">
        <v>457</v>
      </c>
      <c r="E98" s="69" t="s">
        <v>256</v>
      </c>
      <c r="F98" s="69" t="s">
        <v>456</v>
      </c>
      <c r="G98" s="69" t="s">
        <v>237</v>
      </c>
      <c r="H98" s="70">
        <v>9</v>
      </c>
      <c r="I98" s="70">
        <v>0</v>
      </c>
      <c r="J98" s="70">
        <v>25</v>
      </c>
      <c r="K98" s="70">
        <v>26.722222222222221</v>
      </c>
      <c r="L98" s="71">
        <v>0</v>
      </c>
      <c r="M98" s="71">
        <v>0</v>
      </c>
      <c r="N98" s="71">
        <v>0</v>
      </c>
      <c r="O98" s="71">
        <v>0</v>
      </c>
      <c r="P98" s="70">
        <v>9</v>
      </c>
      <c r="Q98" s="70">
        <v>0</v>
      </c>
      <c r="R98" s="70">
        <v>25</v>
      </c>
      <c r="S98" s="70">
        <v>26.722222222222221</v>
      </c>
      <c r="T98" s="71">
        <v>9</v>
      </c>
      <c r="U98" s="71">
        <v>0</v>
      </c>
      <c r="V98" s="71">
        <v>25</v>
      </c>
      <c r="W98" s="71">
        <v>26.722222222222221</v>
      </c>
      <c r="X98" s="70">
        <v>9</v>
      </c>
      <c r="Y98" s="70">
        <v>0</v>
      </c>
      <c r="Z98" s="70">
        <v>25</v>
      </c>
      <c r="AA98" s="70">
        <v>26.722222222222221</v>
      </c>
      <c r="AB98" s="71">
        <v>2.9</v>
      </c>
      <c r="AC98" s="71">
        <v>2.3199999999999998</v>
      </c>
      <c r="AD98" s="71">
        <v>3.48</v>
      </c>
      <c r="AE98" s="71">
        <v>5.6066666666666654E-2</v>
      </c>
      <c r="AF98" s="70">
        <v>0</v>
      </c>
      <c r="AG98" s="70">
        <v>0</v>
      </c>
      <c r="AH98" s="70">
        <v>0</v>
      </c>
      <c r="AI98" s="70">
        <v>0</v>
      </c>
      <c r="AJ98" s="72" t="s">
        <v>932</v>
      </c>
    </row>
    <row r="99" spans="1:36" customFormat="1" x14ac:dyDescent="0.25">
      <c r="A99" s="68">
        <v>93</v>
      </c>
      <c r="B99" s="69" t="s">
        <v>254</v>
      </c>
      <c r="C99" s="69" t="s">
        <v>1001</v>
      </c>
      <c r="D99" s="69" t="s">
        <v>458</v>
      </c>
      <c r="E99" s="69" t="s">
        <v>262</v>
      </c>
      <c r="F99" s="69" t="s">
        <v>456</v>
      </c>
      <c r="G99" s="69" t="s">
        <v>237</v>
      </c>
      <c r="H99" s="70">
        <v>1</v>
      </c>
      <c r="I99" s="70">
        <v>0.3</v>
      </c>
      <c r="J99" s="70">
        <v>3</v>
      </c>
      <c r="K99" s="70">
        <v>0.32722222222222214</v>
      </c>
      <c r="L99" s="71">
        <v>0</v>
      </c>
      <c r="M99" s="71">
        <v>0</v>
      </c>
      <c r="N99" s="71">
        <v>3</v>
      </c>
      <c r="O99" s="71">
        <v>0.5</v>
      </c>
      <c r="P99" s="70">
        <v>1.0000000000000002</v>
      </c>
      <c r="Q99" s="70">
        <v>0.3</v>
      </c>
      <c r="R99" s="70">
        <v>3</v>
      </c>
      <c r="S99" s="70">
        <v>0.32722222222222208</v>
      </c>
      <c r="T99" s="71">
        <v>1.0000000000000002</v>
      </c>
      <c r="U99" s="71">
        <v>0.3</v>
      </c>
      <c r="V99" s="71">
        <v>3</v>
      </c>
      <c r="W99" s="71">
        <v>0.32722222222222208</v>
      </c>
      <c r="X99" s="70">
        <v>1</v>
      </c>
      <c r="Y99" s="70">
        <v>0.3</v>
      </c>
      <c r="Z99" s="70">
        <v>3</v>
      </c>
      <c r="AA99" s="70">
        <v>0.32722222222222214</v>
      </c>
      <c r="AB99" s="71">
        <v>0.1</v>
      </c>
      <c r="AC99" s="71">
        <v>0.1</v>
      </c>
      <c r="AD99" s="71">
        <v>3</v>
      </c>
      <c r="AE99" s="71">
        <v>0.46722222222222209</v>
      </c>
      <c r="AF99" s="70">
        <v>0</v>
      </c>
      <c r="AG99" s="70">
        <v>0</v>
      </c>
      <c r="AH99" s="70">
        <v>0</v>
      </c>
      <c r="AI99" s="70">
        <v>0</v>
      </c>
      <c r="AJ99" s="72" t="s">
        <v>932</v>
      </c>
    </row>
    <row r="100" spans="1:36" customFormat="1" x14ac:dyDescent="0.25">
      <c r="A100" s="68">
        <v>94</v>
      </c>
      <c r="B100" s="69" t="s">
        <v>254</v>
      </c>
      <c r="C100" s="69" t="s">
        <v>1001</v>
      </c>
      <c r="D100" s="69" t="s">
        <v>459</v>
      </c>
      <c r="E100" s="69" t="s">
        <v>259</v>
      </c>
      <c r="F100" s="69" t="s">
        <v>456</v>
      </c>
      <c r="G100" s="69" t="s">
        <v>237</v>
      </c>
      <c r="H100" s="70">
        <v>1</v>
      </c>
      <c r="I100" s="70">
        <v>0.3</v>
      </c>
      <c r="J100" s="70">
        <v>3</v>
      </c>
      <c r="K100" s="70">
        <v>0.32722222222222214</v>
      </c>
      <c r="L100" s="71">
        <v>0</v>
      </c>
      <c r="M100" s="71">
        <v>0</v>
      </c>
      <c r="N100" s="71">
        <v>3</v>
      </c>
      <c r="O100" s="71">
        <v>0.5</v>
      </c>
      <c r="P100" s="70">
        <v>1.0000000000000002</v>
      </c>
      <c r="Q100" s="70">
        <v>0.3</v>
      </c>
      <c r="R100" s="70">
        <v>3</v>
      </c>
      <c r="S100" s="70">
        <v>0.32722222222222208</v>
      </c>
      <c r="T100" s="71">
        <v>1.0000000000000002</v>
      </c>
      <c r="U100" s="71">
        <v>0.3</v>
      </c>
      <c r="V100" s="71">
        <v>3</v>
      </c>
      <c r="W100" s="71">
        <v>0.32722222222222208</v>
      </c>
      <c r="X100" s="70">
        <v>1</v>
      </c>
      <c r="Y100" s="70">
        <v>0.3</v>
      </c>
      <c r="Z100" s="70">
        <v>3</v>
      </c>
      <c r="AA100" s="70">
        <v>0.32722222222222214</v>
      </c>
      <c r="AB100" s="71">
        <v>0.1</v>
      </c>
      <c r="AC100" s="71">
        <v>0.1</v>
      </c>
      <c r="AD100" s="71">
        <v>3</v>
      </c>
      <c r="AE100" s="71">
        <v>0.46722222222222209</v>
      </c>
      <c r="AF100" s="70">
        <v>0</v>
      </c>
      <c r="AG100" s="70">
        <v>0</v>
      </c>
      <c r="AH100" s="70">
        <v>0</v>
      </c>
      <c r="AI100" s="70">
        <v>0</v>
      </c>
      <c r="AJ100" s="72" t="s">
        <v>932</v>
      </c>
    </row>
    <row r="101" spans="1:36" customFormat="1" x14ac:dyDescent="0.25">
      <c r="A101" s="68">
        <v>95</v>
      </c>
      <c r="B101" s="69" t="s">
        <v>254</v>
      </c>
      <c r="C101" s="69" t="s">
        <v>1001</v>
      </c>
      <c r="D101" s="69" t="s">
        <v>460</v>
      </c>
      <c r="E101" s="69" t="s">
        <v>417</v>
      </c>
      <c r="F101" s="69" t="s">
        <v>456</v>
      </c>
      <c r="G101" s="69" t="s">
        <v>237</v>
      </c>
      <c r="H101" s="70">
        <v>0</v>
      </c>
      <c r="I101" s="70">
        <v>0</v>
      </c>
      <c r="J101" s="70">
        <v>3</v>
      </c>
      <c r="K101" s="70">
        <v>0.5</v>
      </c>
      <c r="L101" s="71">
        <v>0</v>
      </c>
      <c r="M101" s="71">
        <v>0</v>
      </c>
      <c r="N101" s="71">
        <v>0</v>
      </c>
      <c r="O101" s="71">
        <v>0</v>
      </c>
      <c r="P101" s="70">
        <v>0</v>
      </c>
      <c r="Q101" s="70">
        <v>0</v>
      </c>
      <c r="R101" s="70">
        <v>3</v>
      </c>
      <c r="S101" s="70">
        <v>0.5</v>
      </c>
      <c r="T101" s="71">
        <v>0</v>
      </c>
      <c r="U101" s="71">
        <v>0</v>
      </c>
      <c r="V101" s="71">
        <v>3</v>
      </c>
      <c r="W101" s="71">
        <v>0.5</v>
      </c>
      <c r="X101" s="70">
        <v>0</v>
      </c>
      <c r="Y101" s="70">
        <v>0</v>
      </c>
      <c r="Z101" s="70">
        <v>3</v>
      </c>
      <c r="AA101" s="70">
        <v>0.5</v>
      </c>
      <c r="AB101" s="71">
        <v>90</v>
      </c>
      <c r="AC101" s="71">
        <v>81</v>
      </c>
      <c r="AD101" s="71">
        <v>99.000000000000014</v>
      </c>
      <c r="AE101" s="71">
        <v>13.500000000000099</v>
      </c>
      <c r="AF101" s="70">
        <v>0</v>
      </c>
      <c r="AG101" s="70">
        <v>0</v>
      </c>
      <c r="AH101" s="70">
        <v>0</v>
      </c>
      <c r="AI101" s="70">
        <v>0</v>
      </c>
      <c r="AJ101" s="72" t="s">
        <v>932</v>
      </c>
    </row>
    <row r="102" spans="1:36" customFormat="1" x14ac:dyDescent="0.25">
      <c r="A102" s="68">
        <v>96</v>
      </c>
      <c r="B102" s="69" t="s">
        <v>254</v>
      </c>
      <c r="C102" s="69" t="s">
        <v>1001</v>
      </c>
      <c r="D102" s="69" t="s">
        <v>461</v>
      </c>
      <c r="E102" s="69" t="s">
        <v>419</v>
      </c>
      <c r="F102" s="69" t="s">
        <v>456</v>
      </c>
      <c r="G102" s="69" t="s">
        <v>237</v>
      </c>
      <c r="H102" s="70">
        <v>80</v>
      </c>
      <c r="I102" s="70">
        <v>64</v>
      </c>
      <c r="J102" s="70">
        <v>96</v>
      </c>
      <c r="K102" s="70">
        <v>42.666666666666664</v>
      </c>
      <c r="L102" s="71">
        <v>0</v>
      </c>
      <c r="M102" s="71">
        <v>0</v>
      </c>
      <c r="N102" s="71">
        <v>0</v>
      </c>
      <c r="O102" s="71">
        <v>0</v>
      </c>
      <c r="P102" s="70">
        <v>80</v>
      </c>
      <c r="Q102" s="70">
        <v>64</v>
      </c>
      <c r="R102" s="70">
        <v>96</v>
      </c>
      <c r="S102" s="70">
        <v>42.666666666666664</v>
      </c>
      <c r="T102" s="71">
        <v>80</v>
      </c>
      <c r="U102" s="71">
        <v>64</v>
      </c>
      <c r="V102" s="71">
        <v>96</v>
      </c>
      <c r="W102" s="71">
        <v>42.666666666666664</v>
      </c>
      <c r="X102" s="70">
        <v>80</v>
      </c>
      <c r="Y102" s="70">
        <v>64</v>
      </c>
      <c r="Z102" s="70">
        <v>96</v>
      </c>
      <c r="AA102" s="70">
        <v>42.666666666666664</v>
      </c>
      <c r="AB102" s="71">
        <v>6</v>
      </c>
      <c r="AC102" s="71">
        <v>0</v>
      </c>
      <c r="AD102" s="71">
        <v>26.400000000000002</v>
      </c>
      <c r="AE102" s="71">
        <v>31.920000000000009</v>
      </c>
      <c r="AF102" s="70">
        <v>0</v>
      </c>
      <c r="AG102" s="70">
        <v>0</v>
      </c>
      <c r="AH102" s="70">
        <v>0</v>
      </c>
      <c r="AI102" s="70">
        <v>0</v>
      </c>
      <c r="AJ102" s="72" t="s">
        <v>932</v>
      </c>
    </row>
    <row r="103" spans="1:36" customFormat="1" x14ac:dyDescent="0.25">
      <c r="A103" s="68">
        <v>97</v>
      </c>
      <c r="B103" s="69" t="s">
        <v>254</v>
      </c>
      <c r="C103" s="69" t="s">
        <v>1001</v>
      </c>
      <c r="D103" s="69" t="s">
        <v>462</v>
      </c>
      <c r="E103" s="69" t="s">
        <v>421</v>
      </c>
      <c r="F103" s="69" t="s">
        <v>456</v>
      </c>
      <c r="G103" s="69" t="s">
        <v>237</v>
      </c>
      <c r="H103" s="70">
        <v>8</v>
      </c>
      <c r="I103" s="70">
        <v>6.4000000000000021</v>
      </c>
      <c r="J103" s="70">
        <v>9.6000000000000014</v>
      </c>
      <c r="K103" s="70">
        <v>0.42666666666666703</v>
      </c>
      <c r="L103" s="71">
        <v>0</v>
      </c>
      <c r="M103" s="71">
        <v>0</v>
      </c>
      <c r="N103" s="71">
        <v>0</v>
      </c>
      <c r="O103" s="71">
        <v>0</v>
      </c>
      <c r="P103" s="70">
        <v>8.0000000000000018</v>
      </c>
      <c r="Q103" s="70">
        <v>6.4</v>
      </c>
      <c r="R103" s="70">
        <v>9.6</v>
      </c>
      <c r="S103" s="70">
        <v>0.42666666666666703</v>
      </c>
      <c r="T103" s="71">
        <v>8.0000000000000018</v>
      </c>
      <c r="U103" s="71">
        <v>6.4</v>
      </c>
      <c r="V103" s="71">
        <v>9.6</v>
      </c>
      <c r="W103" s="71">
        <v>0.42666666666666703</v>
      </c>
      <c r="X103" s="70">
        <v>8</v>
      </c>
      <c r="Y103" s="70">
        <v>6.4</v>
      </c>
      <c r="Z103" s="70">
        <v>9.6</v>
      </c>
      <c r="AA103" s="70">
        <v>0.42666666666666703</v>
      </c>
      <c r="AB103" s="71">
        <v>0.8</v>
      </c>
      <c r="AC103" s="71">
        <v>0.8</v>
      </c>
      <c r="AD103" s="71">
        <v>0.8</v>
      </c>
      <c r="AE103" s="71">
        <v>0</v>
      </c>
      <c r="AF103" s="70">
        <v>0</v>
      </c>
      <c r="AG103" s="70">
        <v>0</v>
      </c>
      <c r="AH103" s="70">
        <v>0</v>
      </c>
      <c r="AI103" s="70">
        <v>0</v>
      </c>
      <c r="AJ103" s="72" t="s">
        <v>932</v>
      </c>
    </row>
    <row r="104" spans="1:36" customFormat="1" x14ac:dyDescent="0.25">
      <c r="A104" s="68">
        <v>98</v>
      </c>
      <c r="B104" s="69" t="s">
        <v>254</v>
      </c>
      <c r="C104" s="69" t="s">
        <v>1001</v>
      </c>
      <c r="D104" s="69" t="s">
        <v>463</v>
      </c>
      <c r="E104" s="69" t="s">
        <v>423</v>
      </c>
      <c r="F104" s="69" t="s">
        <v>464</v>
      </c>
      <c r="G104" s="69" t="s">
        <v>237</v>
      </c>
      <c r="H104" s="70">
        <v>90</v>
      </c>
      <c r="I104" s="70">
        <v>72.000000000000014</v>
      </c>
      <c r="J104" s="70">
        <v>97.2</v>
      </c>
      <c r="K104" s="70">
        <v>28.080000000000126</v>
      </c>
      <c r="L104" s="71">
        <v>83.7</v>
      </c>
      <c r="M104" s="71">
        <v>66.600000000000009</v>
      </c>
      <c r="N104" s="71">
        <v>97.2</v>
      </c>
      <c r="O104" s="71">
        <v>39.195000000000057</v>
      </c>
      <c r="P104" s="70">
        <v>81</v>
      </c>
      <c r="Q104" s="70">
        <v>64.8</v>
      </c>
      <c r="R104" s="70">
        <v>97.2</v>
      </c>
      <c r="S104" s="70">
        <v>43.74000000000003</v>
      </c>
      <c r="T104" s="71">
        <v>90</v>
      </c>
      <c r="U104" s="71">
        <v>90</v>
      </c>
      <c r="V104" s="71">
        <v>90</v>
      </c>
      <c r="W104" s="71">
        <v>0</v>
      </c>
      <c r="X104" s="70">
        <v>90</v>
      </c>
      <c r="Y104" s="70">
        <v>90</v>
      </c>
      <c r="Z104" s="70">
        <v>90</v>
      </c>
      <c r="AA104" s="70">
        <v>0</v>
      </c>
      <c r="AB104" s="71">
        <v>76.5</v>
      </c>
      <c r="AC104" s="71">
        <v>38.25</v>
      </c>
      <c r="AD104" s="71">
        <v>97.2</v>
      </c>
      <c r="AE104" s="71">
        <v>149.07375000000002</v>
      </c>
      <c r="AF104" s="70">
        <v>90</v>
      </c>
      <c r="AG104" s="70">
        <v>64.8</v>
      </c>
      <c r="AH104" s="70">
        <v>97.2</v>
      </c>
      <c r="AI104" s="70">
        <v>48.24000000000008</v>
      </c>
      <c r="AJ104" s="72" t="s">
        <v>932</v>
      </c>
    </row>
    <row r="105" spans="1:36" customFormat="1" x14ac:dyDescent="0.25">
      <c r="A105" s="68">
        <v>99</v>
      </c>
      <c r="B105" s="69" t="s">
        <v>254</v>
      </c>
      <c r="C105" s="69" t="s">
        <v>1001</v>
      </c>
      <c r="D105" s="69" t="s">
        <v>465</v>
      </c>
      <c r="E105" s="69" t="s">
        <v>265</v>
      </c>
      <c r="F105" s="69" t="s">
        <v>466</v>
      </c>
      <c r="G105" s="69" t="s">
        <v>237</v>
      </c>
      <c r="H105" s="70">
        <v>4</v>
      </c>
      <c r="I105" s="70">
        <v>3.2</v>
      </c>
      <c r="J105" s="70">
        <v>4.8</v>
      </c>
      <c r="K105" s="70">
        <v>0.10666666666666676</v>
      </c>
      <c r="L105" s="71">
        <v>4</v>
      </c>
      <c r="M105" s="71">
        <v>3.2</v>
      </c>
      <c r="N105" s="71">
        <v>4.8</v>
      </c>
      <c r="O105" s="71">
        <v>0.10666666666666676</v>
      </c>
      <c r="P105" s="70">
        <v>4</v>
      </c>
      <c r="Q105" s="70">
        <v>3.2</v>
      </c>
      <c r="R105" s="70">
        <v>4.8</v>
      </c>
      <c r="S105" s="70">
        <v>0.10666666666666676</v>
      </c>
      <c r="T105" s="71">
        <v>4</v>
      </c>
      <c r="U105" s="71">
        <v>3.2</v>
      </c>
      <c r="V105" s="71">
        <v>4.8</v>
      </c>
      <c r="W105" s="71">
        <v>0.10666666666666676</v>
      </c>
      <c r="X105" s="70">
        <v>4</v>
      </c>
      <c r="Y105" s="70">
        <v>3.2</v>
      </c>
      <c r="Z105" s="70">
        <v>4.8</v>
      </c>
      <c r="AA105" s="70">
        <v>0.10666666666666676</v>
      </c>
      <c r="AB105" s="71">
        <v>4</v>
      </c>
      <c r="AC105" s="71">
        <v>3.2</v>
      </c>
      <c r="AD105" s="71">
        <v>4.8</v>
      </c>
      <c r="AE105" s="71">
        <v>0.10666666666666676</v>
      </c>
      <c r="AF105" s="70">
        <v>4</v>
      </c>
      <c r="AG105" s="70">
        <v>3.2</v>
      </c>
      <c r="AH105" s="70">
        <v>4.8</v>
      </c>
      <c r="AI105" s="70">
        <v>0.10666666666666676</v>
      </c>
      <c r="AJ105" s="72" t="s">
        <v>932</v>
      </c>
    </row>
    <row r="106" spans="1:36" customFormat="1" x14ac:dyDescent="0.25">
      <c r="A106" s="68">
        <v>100</v>
      </c>
      <c r="B106" s="69" t="s">
        <v>254</v>
      </c>
      <c r="C106" s="69" t="s">
        <v>1001</v>
      </c>
      <c r="D106" s="69" t="s">
        <v>467</v>
      </c>
      <c r="E106" s="69" t="s">
        <v>425</v>
      </c>
      <c r="F106" s="69" t="s">
        <v>464</v>
      </c>
      <c r="G106" s="69" t="s">
        <v>237</v>
      </c>
      <c r="H106" s="70">
        <v>4</v>
      </c>
      <c r="I106" s="70">
        <v>3.2</v>
      </c>
      <c r="J106" s="70">
        <v>4.8</v>
      </c>
      <c r="K106" s="70">
        <v>0.10666666666666676</v>
      </c>
      <c r="L106" s="71">
        <v>4</v>
      </c>
      <c r="M106" s="71">
        <v>3.2</v>
      </c>
      <c r="N106" s="71">
        <v>4.8</v>
      </c>
      <c r="O106" s="71">
        <v>0.10666666666666676</v>
      </c>
      <c r="P106" s="70">
        <v>4</v>
      </c>
      <c r="Q106" s="70">
        <v>3.2</v>
      </c>
      <c r="R106" s="70">
        <v>4.8</v>
      </c>
      <c r="S106" s="70">
        <v>0.10666666666666676</v>
      </c>
      <c r="T106" s="71">
        <v>4</v>
      </c>
      <c r="U106" s="71">
        <v>3.2</v>
      </c>
      <c r="V106" s="71">
        <v>4.8</v>
      </c>
      <c r="W106" s="71">
        <v>0.10666666666666676</v>
      </c>
      <c r="X106" s="70">
        <v>4</v>
      </c>
      <c r="Y106" s="70">
        <v>3.2</v>
      </c>
      <c r="Z106" s="70">
        <v>4.8</v>
      </c>
      <c r="AA106" s="70">
        <v>0.10666666666666676</v>
      </c>
      <c r="AB106" s="71">
        <v>4</v>
      </c>
      <c r="AC106" s="71">
        <v>3.2</v>
      </c>
      <c r="AD106" s="71">
        <v>4.8</v>
      </c>
      <c r="AE106" s="71">
        <v>0.10666666666666676</v>
      </c>
      <c r="AF106" s="70">
        <v>4</v>
      </c>
      <c r="AG106" s="70">
        <v>3.2</v>
      </c>
      <c r="AH106" s="70">
        <v>4.8</v>
      </c>
      <c r="AI106" s="70">
        <v>0.10666666666666676</v>
      </c>
      <c r="AJ106" s="72" t="s">
        <v>932</v>
      </c>
    </row>
    <row r="107" spans="1:36" customFormat="1" x14ac:dyDescent="0.25">
      <c r="A107" s="68">
        <v>101</v>
      </c>
      <c r="B107" s="69" t="s">
        <v>254</v>
      </c>
      <c r="C107" s="69" t="s">
        <v>1001</v>
      </c>
      <c r="D107" s="69" t="s">
        <v>468</v>
      </c>
      <c r="E107" s="69" t="s">
        <v>427</v>
      </c>
      <c r="F107" s="69" t="s">
        <v>466</v>
      </c>
      <c r="G107" s="69" t="s">
        <v>237</v>
      </c>
      <c r="H107" s="70">
        <v>2</v>
      </c>
      <c r="I107" s="70">
        <v>0</v>
      </c>
      <c r="J107" s="70">
        <v>19.999999999999986</v>
      </c>
      <c r="K107" s="70">
        <v>20.222222222222189</v>
      </c>
      <c r="L107" s="71">
        <v>8.2999999999999972</v>
      </c>
      <c r="M107" s="71">
        <v>0</v>
      </c>
      <c r="N107" s="71">
        <v>25.4</v>
      </c>
      <c r="O107" s="71">
        <v>27.957222222222221</v>
      </c>
      <c r="P107" s="70">
        <v>11</v>
      </c>
      <c r="Q107" s="70">
        <v>0</v>
      </c>
      <c r="R107" s="70">
        <v>27.200000000000003</v>
      </c>
      <c r="S107" s="70">
        <v>31.202222222222225</v>
      </c>
      <c r="T107" s="71">
        <v>2</v>
      </c>
      <c r="U107" s="71">
        <v>0</v>
      </c>
      <c r="V107" s="71">
        <v>2</v>
      </c>
      <c r="W107" s="71">
        <v>0.22222222222222221</v>
      </c>
      <c r="X107" s="70">
        <v>2</v>
      </c>
      <c r="Y107" s="70">
        <v>0</v>
      </c>
      <c r="Z107" s="70">
        <v>2</v>
      </c>
      <c r="AA107" s="70">
        <v>0.22222222222222221</v>
      </c>
      <c r="AB107" s="71">
        <v>15.5</v>
      </c>
      <c r="AC107" s="71">
        <v>0</v>
      </c>
      <c r="AD107" s="71">
        <v>53.75</v>
      </c>
      <c r="AE107" s="71">
        <v>127.56597222222221</v>
      </c>
      <c r="AF107" s="70">
        <v>2</v>
      </c>
      <c r="AG107" s="70">
        <v>0</v>
      </c>
      <c r="AH107" s="70">
        <v>27.200000000000003</v>
      </c>
      <c r="AI107" s="70">
        <v>38.302222222222227</v>
      </c>
      <c r="AJ107" s="72" t="s">
        <v>932</v>
      </c>
    </row>
    <row r="108" spans="1:36" customFormat="1" x14ac:dyDescent="0.25">
      <c r="A108" s="68">
        <v>102</v>
      </c>
      <c r="B108" s="69" t="s">
        <v>254</v>
      </c>
      <c r="C108" s="69" t="s">
        <v>1001</v>
      </c>
      <c r="D108" s="69" t="s">
        <v>1035</v>
      </c>
      <c r="E108" s="69" t="s">
        <v>1027</v>
      </c>
      <c r="F108" s="69" t="s">
        <v>1028</v>
      </c>
      <c r="G108" s="69" t="s">
        <v>237</v>
      </c>
      <c r="H108" s="70"/>
      <c r="I108" s="70"/>
      <c r="J108" s="70"/>
      <c r="K108" s="70"/>
      <c r="L108" s="71"/>
      <c r="M108" s="71"/>
      <c r="N108" s="71"/>
      <c r="O108" s="71"/>
      <c r="P108" s="70"/>
      <c r="Q108" s="70"/>
      <c r="R108" s="70"/>
      <c r="S108" s="70"/>
      <c r="T108" s="71"/>
      <c r="U108" s="71"/>
      <c r="V108" s="71"/>
      <c r="W108" s="71"/>
      <c r="X108" s="70"/>
      <c r="Y108" s="70"/>
      <c r="Z108" s="70"/>
      <c r="AA108" s="70"/>
      <c r="AB108" s="71">
        <v>90</v>
      </c>
      <c r="AC108" s="71">
        <v>72</v>
      </c>
      <c r="AD108" s="71">
        <v>90</v>
      </c>
      <c r="AE108" s="71">
        <v>18</v>
      </c>
      <c r="AF108" s="70"/>
      <c r="AG108" s="70"/>
      <c r="AH108" s="70"/>
      <c r="AI108" s="70"/>
      <c r="AJ108" s="72" t="s">
        <v>932</v>
      </c>
    </row>
    <row r="109" spans="1:36" customFormat="1" x14ac:dyDescent="0.25">
      <c r="A109" s="68">
        <v>103</v>
      </c>
      <c r="B109" s="69" t="s">
        <v>927</v>
      </c>
      <c r="C109" s="69" t="s">
        <v>1001</v>
      </c>
      <c r="D109" s="69" t="s">
        <v>469</v>
      </c>
      <c r="E109" s="69" t="s">
        <v>429</v>
      </c>
      <c r="F109" s="69" t="s">
        <v>470</v>
      </c>
      <c r="G109" s="69" t="s">
        <v>237</v>
      </c>
      <c r="H109" s="70">
        <v>1</v>
      </c>
      <c r="I109" s="70">
        <v>0.8</v>
      </c>
      <c r="J109" s="70">
        <v>1.2</v>
      </c>
      <c r="K109" s="70">
        <v>6.6666666666666723E-3</v>
      </c>
      <c r="L109" s="71">
        <v>1</v>
      </c>
      <c r="M109" s="71">
        <v>0</v>
      </c>
      <c r="N109" s="71">
        <v>0</v>
      </c>
      <c r="O109" s="71">
        <v>5.5555555555555552E-2</v>
      </c>
      <c r="P109" s="70">
        <v>0</v>
      </c>
      <c r="Q109" s="70">
        <v>0</v>
      </c>
      <c r="R109" s="70">
        <v>0</v>
      </c>
      <c r="S109" s="70">
        <v>0</v>
      </c>
      <c r="T109" s="71">
        <v>0</v>
      </c>
      <c r="U109" s="71">
        <v>0</v>
      </c>
      <c r="V109" s="71">
        <v>0</v>
      </c>
      <c r="W109" s="71">
        <v>0</v>
      </c>
      <c r="X109" s="70">
        <v>1</v>
      </c>
      <c r="Y109" s="70">
        <v>0</v>
      </c>
      <c r="Z109" s="70">
        <v>0</v>
      </c>
      <c r="AA109" s="70">
        <v>5.5555555555555552E-2</v>
      </c>
      <c r="AB109" s="71">
        <v>0.1</v>
      </c>
      <c r="AC109" s="71">
        <v>0</v>
      </c>
      <c r="AD109" s="71">
        <v>0.33</v>
      </c>
      <c r="AE109" s="71">
        <v>4.772222222222222E-3</v>
      </c>
      <c r="AF109" s="70">
        <v>0</v>
      </c>
      <c r="AG109" s="70">
        <v>0</v>
      </c>
      <c r="AH109" s="70">
        <v>0</v>
      </c>
      <c r="AI109" s="70">
        <v>0</v>
      </c>
      <c r="AJ109" s="72" t="s">
        <v>932</v>
      </c>
    </row>
    <row r="110" spans="1:36" customFormat="1" x14ac:dyDescent="0.25">
      <c r="A110" s="68">
        <v>104</v>
      </c>
      <c r="B110" s="69" t="s">
        <v>927</v>
      </c>
      <c r="C110" s="69" t="s">
        <v>1001</v>
      </c>
      <c r="D110" s="69" t="s">
        <v>471</v>
      </c>
      <c r="E110" s="69" t="s">
        <v>432</v>
      </c>
      <c r="F110" s="69" t="s">
        <v>472</v>
      </c>
      <c r="G110" s="69" t="s">
        <v>237</v>
      </c>
      <c r="H110" s="70">
        <v>0</v>
      </c>
      <c r="I110" s="70">
        <v>0.80000000000000016</v>
      </c>
      <c r="J110" s="70">
        <v>1.08</v>
      </c>
      <c r="K110" s="70">
        <v>5.2355555555555565E-2</v>
      </c>
      <c r="L110" s="71">
        <v>0</v>
      </c>
      <c r="M110" s="71">
        <v>0.7400000000000001</v>
      </c>
      <c r="N110" s="71">
        <v>1.08</v>
      </c>
      <c r="O110" s="71">
        <v>5.0822222222222234E-2</v>
      </c>
      <c r="P110" s="70">
        <v>0</v>
      </c>
      <c r="Q110" s="70">
        <v>0.72</v>
      </c>
      <c r="R110" s="70">
        <v>1.08</v>
      </c>
      <c r="S110" s="70">
        <v>5.04E-2</v>
      </c>
      <c r="T110" s="71">
        <v>0</v>
      </c>
      <c r="U110" s="71">
        <v>1</v>
      </c>
      <c r="V110" s="71">
        <v>1</v>
      </c>
      <c r="W110" s="71">
        <v>5.5555555555555552E-2</v>
      </c>
      <c r="X110" s="70">
        <v>0</v>
      </c>
      <c r="Y110" s="70">
        <v>1</v>
      </c>
      <c r="Z110" s="70">
        <v>1</v>
      </c>
      <c r="AA110" s="70">
        <v>5.5555555555555552E-2</v>
      </c>
      <c r="AB110" s="71">
        <v>0</v>
      </c>
      <c r="AC110" s="71">
        <v>0.42499999999999999</v>
      </c>
      <c r="AD110" s="71">
        <v>1.08</v>
      </c>
      <c r="AE110" s="71">
        <v>4.9334722222222224E-2</v>
      </c>
      <c r="AF110" s="70">
        <v>0</v>
      </c>
      <c r="AG110" s="70">
        <v>0</v>
      </c>
      <c r="AH110" s="70">
        <v>0</v>
      </c>
      <c r="AI110" s="70">
        <v>0</v>
      </c>
      <c r="AJ110" s="72" t="s">
        <v>932</v>
      </c>
    </row>
    <row r="111" spans="1:36" customFormat="1" x14ac:dyDescent="0.25">
      <c r="A111" s="68">
        <v>105</v>
      </c>
      <c r="B111" s="69" t="s">
        <v>927</v>
      </c>
      <c r="C111" s="69" t="s">
        <v>1001</v>
      </c>
      <c r="D111" s="69" t="s">
        <v>473</v>
      </c>
      <c r="E111" s="69" t="s">
        <v>434</v>
      </c>
      <c r="F111" s="69" t="s">
        <v>474</v>
      </c>
      <c r="G111" s="69" t="s">
        <v>237</v>
      </c>
      <c r="H111" s="70">
        <v>1</v>
      </c>
      <c r="I111" s="70">
        <v>1</v>
      </c>
      <c r="J111" s="70">
        <v>1</v>
      </c>
      <c r="K111" s="70">
        <v>0</v>
      </c>
      <c r="L111" s="71">
        <v>1</v>
      </c>
      <c r="M111" s="71">
        <v>1</v>
      </c>
      <c r="N111" s="71">
        <v>1</v>
      </c>
      <c r="O111" s="71">
        <v>0</v>
      </c>
      <c r="P111" s="70">
        <v>1</v>
      </c>
      <c r="Q111" s="70">
        <v>1</v>
      </c>
      <c r="R111" s="70">
        <v>1</v>
      </c>
      <c r="S111" s="70">
        <v>0</v>
      </c>
      <c r="T111" s="71">
        <v>1</v>
      </c>
      <c r="U111" s="71">
        <v>1</v>
      </c>
      <c r="V111" s="71">
        <v>1</v>
      </c>
      <c r="W111" s="71">
        <v>0</v>
      </c>
      <c r="X111" s="70">
        <v>0.73</v>
      </c>
      <c r="Y111" s="70">
        <v>0.58399999999999996</v>
      </c>
      <c r="Z111" s="70">
        <v>0.876</v>
      </c>
      <c r="AA111" s="70">
        <v>3.5526666666666545E-3</v>
      </c>
      <c r="AB111" s="71">
        <v>0.5321776927041153</v>
      </c>
      <c r="AC111" s="71">
        <v>0.5321776927041153</v>
      </c>
      <c r="AD111" s="71">
        <v>1</v>
      </c>
      <c r="AE111" s="71">
        <v>1.2158761733535842E-2</v>
      </c>
      <c r="AF111" s="70">
        <v>0</v>
      </c>
      <c r="AG111" s="70">
        <v>0</v>
      </c>
      <c r="AH111" s="70">
        <v>0</v>
      </c>
      <c r="AI111" s="70">
        <v>0</v>
      </c>
      <c r="AJ111" s="72" t="s">
        <v>932</v>
      </c>
    </row>
    <row r="112" spans="1:36" customFormat="1" x14ac:dyDescent="0.25">
      <c r="A112" s="68">
        <v>106</v>
      </c>
      <c r="B112" s="69" t="s">
        <v>254</v>
      </c>
      <c r="C112" s="69" t="s">
        <v>1001</v>
      </c>
      <c r="D112" s="69" t="s">
        <v>475</v>
      </c>
      <c r="E112" s="69" t="s">
        <v>476</v>
      </c>
      <c r="F112" s="69" t="s">
        <v>477</v>
      </c>
      <c r="G112" s="69" t="s">
        <v>237</v>
      </c>
      <c r="H112" s="70">
        <v>9.2807424593967507E-4</v>
      </c>
      <c r="I112" s="70">
        <v>9.2807424593967507E-4</v>
      </c>
      <c r="J112" s="70">
        <v>9.2807424593967507E-4</v>
      </c>
      <c r="K112" s="70">
        <v>1.176434648964306E-23</v>
      </c>
      <c r="L112" s="71">
        <v>9.2807424593967507E-4</v>
      </c>
      <c r="M112" s="71">
        <v>9.2807424593967507E-4</v>
      </c>
      <c r="N112" s="71">
        <v>9.2807424593967507E-4</v>
      </c>
      <c r="O112" s="71">
        <v>1.176434648964306E-23</v>
      </c>
      <c r="P112" s="70">
        <v>9.2807424593967507E-4</v>
      </c>
      <c r="Q112" s="70">
        <v>9.2807424593967507E-4</v>
      </c>
      <c r="R112" s="70">
        <v>9.2807424593967507E-4</v>
      </c>
      <c r="S112" s="70">
        <v>1.176434648964306E-23</v>
      </c>
      <c r="T112" s="71">
        <v>9.2807424593967507E-4</v>
      </c>
      <c r="U112" s="71">
        <v>9.2807424593967507E-4</v>
      </c>
      <c r="V112" s="71">
        <v>9.2807424593967507E-4</v>
      </c>
      <c r="W112" s="71">
        <v>1.176434648964306E-23</v>
      </c>
      <c r="X112" s="70">
        <v>9.2807424593967507E-4</v>
      </c>
      <c r="Y112" s="70">
        <v>9.2807424593967507E-4</v>
      </c>
      <c r="Z112" s="70">
        <v>9.2807424593967507E-4</v>
      </c>
      <c r="AA112" s="70">
        <v>1.176434648964306E-23</v>
      </c>
      <c r="AB112" s="71">
        <v>9.2807424593967507E-4</v>
      </c>
      <c r="AC112" s="71">
        <v>9.2807424593967507E-4</v>
      </c>
      <c r="AD112" s="71">
        <v>9.2807424593967507E-4</v>
      </c>
      <c r="AE112" s="71">
        <v>1.176434648964306E-23</v>
      </c>
      <c r="AF112" s="70">
        <v>0</v>
      </c>
      <c r="AG112" s="70">
        <v>9.2807424593967507E-4</v>
      </c>
      <c r="AH112" s="70">
        <v>9.2807424593967507E-4</v>
      </c>
      <c r="AI112" s="70">
        <v>4.7851211443138687E-8</v>
      </c>
      <c r="AJ112" s="72" t="s">
        <v>478</v>
      </c>
    </row>
    <row r="113" spans="1:36" customFormat="1" x14ac:dyDescent="0.25">
      <c r="A113" s="68">
        <v>107</v>
      </c>
      <c r="B113" s="69" t="s">
        <v>254</v>
      </c>
      <c r="C113" s="69" t="s">
        <v>819</v>
      </c>
      <c r="D113" s="69" t="s">
        <v>509</v>
      </c>
      <c r="E113" s="69" t="s">
        <v>413</v>
      </c>
      <c r="F113" s="69" t="s">
        <v>510</v>
      </c>
      <c r="G113" s="69" t="s">
        <v>237</v>
      </c>
      <c r="H113" s="70">
        <v>1</v>
      </c>
      <c r="I113" s="70">
        <v>0.3</v>
      </c>
      <c r="J113" s="70">
        <v>3</v>
      </c>
      <c r="K113" s="70">
        <v>0.32722222222222214</v>
      </c>
      <c r="L113" s="71">
        <v>1</v>
      </c>
      <c r="M113" s="71">
        <v>0.3</v>
      </c>
      <c r="N113" s="71">
        <v>3</v>
      </c>
      <c r="O113" s="71">
        <v>0.32722222222222214</v>
      </c>
      <c r="P113" s="70">
        <v>1</v>
      </c>
      <c r="Q113" s="70">
        <v>0.3</v>
      </c>
      <c r="R113" s="70">
        <v>3</v>
      </c>
      <c r="S113" s="70">
        <v>0.32722222222222214</v>
      </c>
      <c r="T113" s="71">
        <v>1</v>
      </c>
      <c r="U113" s="71">
        <v>0.3</v>
      </c>
      <c r="V113" s="71">
        <v>3</v>
      </c>
      <c r="W113" s="71">
        <v>0.32722222222222214</v>
      </c>
      <c r="X113" s="70">
        <v>1</v>
      </c>
      <c r="Y113" s="70">
        <v>0.3</v>
      </c>
      <c r="Z113" s="70">
        <v>3</v>
      </c>
      <c r="AA113" s="70">
        <v>0.32722222222222214</v>
      </c>
      <c r="AB113" s="71">
        <v>1</v>
      </c>
      <c r="AC113" s="71">
        <v>0.3</v>
      </c>
      <c r="AD113" s="71">
        <v>3</v>
      </c>
      <c r="AE113" s="71">
        <v>0.32722222222222214</v>
      </c>
      <c r="AF113" s="70">
        <v>1</v>
      </c>
      <c r="AG113" s="70">
        <v>0.3</v>
      </c>
      <c r="AH113" s="70">
        <v>3</v>
      </c>
      <c r="AI113" s="70">
        <v>0.32722222222222214</v>
      </c>
      <c r="AJ113" s="72" t="s">
        <v>931</v>
      </c>
    </row>
    <row r="114" spans="1:36" customFormat="1" x14ac:dyDescent="0.25">
      <c r="A114" s="68">
        <v>108</v>
      </c>
      <c r="B114" s="69" t="s">
        <v>254</v>
      </c>
      <c r="C114" s="69" t="s">
        <v>819</v>
      </c>
      <c r="D114" s="69" t="s">
        <v>511</v>
      </c>
      <c r="E114" s="69" t="s">
        <v>256</v>
      </c>
      <c r="F114" s="69" t="s">
        <v>510</v>
      </c>
      <c r="G114" s="69" t="s">
        <v>237</v>
      </c>
      <c r="H114" s="70">
        <v>9</v>
      </c>
      <c r="I114" s="70">
        <v>0</v>
      </c>
      <c r="J114" s="70">
        <v>22</v>
      </c>
      <c r="K114" s="70">
        <v>20.388888888888889</v>
      </c>
      <c r="L114" s="71">
        <v>9</v>
      </c>
      <c r="M114" s="71">
        <v>0</v>
      </c>
      <c r="N114" s="71">
        <v>22</v>
      </c>
      <c r="O114" s="71">
        <v>20.388888888888889</v>
      </c>
      <c r="P114" s="70">
        <v>9</v>
      </c>
      <c r="Q114" s="70">
        <v>0</v>
      </c>
      <c r="R114" s="70">
        <v>22</v>
      </c>
      <c r="S114" s="70">
        <v>20.388888888888889</v>
      </c>
      <c r="T114" s="71">
        <v>9</v>
      </c>
      <c r="U114" s="71">
        <v>0</v>
      </c>
      <c r="V114" s="71">
        <v>22</v>
      </c>
      <c r="W114" s="71">
        <v>20.388888888888889</v>
      </c>
      <c r="X114" s="70">
        <v>9</v>
      </c>
      <c r="Y114" s="70">
        <v>0</v>
      </c>
      <c r="Z114" s="70">
        <v>22</v>
      </c>
      <c r="AA114" s="70">
        <v>20.388888888888889</v>
      </c>
      <c r="AB114" s="71">
        <v>9</v>
      </c>
      <c r="AC114" s="71">
        <v>0</v>
      </c>
      <c r="AD114" s="71">
        <v>22</v>
      </c>
      <c r="AE114" s="71">
        <v>20.388888888888889</v>
      </c>
      <c r="AF114" s="70">
        <v>9</v>
      </c>
      <c r="AG114" s="70">
        <v>0</v>
      </c>
      <c r="AH114" s="70">
        <v>22</v>
      </c>
      <c r="AI114" s="70">
        <v>20.388888888888889</v>
      </c>
      <c r="AJ114" s="72" t="s">
        <v>931</v>
      </c>
    </row>
    <row r="115" spans="1:36" customFormat="1" x14ac:dyDescent="0.25">
      <c r="A115" s="68">
        <v>109</v>
      </c>
      <c r="B115" s="69" t="s">
        <v>254</v>
      </c>
      <c r="C115" s="69" t="s">
        <v>819</v>
      </c>
      <c r="D115" s="69" t="s">
        <v>512</v>
      </c>
      <c r="E115" s="69" t="s">
        <v>262</v>
      </c>
      <c r="F115" s="69" t="s">
        <v>510</v>
      </c>
      <c r="G115" s="69" t="s">
        <v>237</v>
      </c>
      <c r="H115" s="70">
        <v>1</v>
      </c>
      <c r="I115" s="70">
        <v>0.3</v>
      </c>
      <c r="J115" s="70">
        <v>3</v>
      </c>
      <c r="K115" s="70">
        <v>0.32722222222222214</v>
      </c>
      <c r="L115" s="71">
        <v>1</v>
      </c>
      <c r="M115" s="71">
        <v>0.3</v>
      </c>
      <c r="N115" s="71">
        <v>3</v>
      </c>
      <c r="O115" s="71">
        <v>0.32722222222222214</v>
      </c>
      <c r="P115" s="70">
        <v>1</v>
      </c>
      <c r="Q115" s="70">
        <v>0.3</v>
      </c>
      <c r="R115" s="70">
        <v>3</v>
      </c>
      <c r="S115" s="70">
        <v>0.32722222222222214</v>
      </c>
      <c r="T115" s="71">
        <v>1</v>
      </c>
      <c r="U115" s="71">
        <v>0.3</v>
      </c>
      <c r="V115" s="71">
        <v>3</v>
      </c>
      <c r="W115" s="71">
        <v>0.32722222222222214</v>
      </c>
      <c r="X115" s="70">
        <v>1</v>
      </c>
      <c r="Y115" s="70">
        <v>0.3</v>
      </c>
      <c r="Z115" s="70">
        <v>3</v>
      </c>
      <c r="AA115" s="70">
        <v>0.32722222222222214</v>
      </c>
      <c r="AB115" s="71">
        <v>1</v>
      </c>
      <c r="AC115" s="71">
        <v>0.3</v>
      </c>
      <c r="AD115" s="71">
        <v>3</v>
      </c>
      <c r="AE115" s="71">
        <v>0.32722222222222214</v>
      </c>
      <c r="AF115" s="70">
        <v>1</v>
      </c>
      <c r="AG115" s="70">
        <v>0.3</v>
      </c>
      <c r="AH115" s="70">
        <v>3</v>
      </c>
      <c r="AI115" s="70">
        <v>0.32722222222222214</v>
      </c>
      <c r="AJ115" s="72" t="s">
        <v>931</v>
      </c>
    </row>
    <row r="116" spans="1:36" customFormat="1" x14ac:dyDescent="0.25">
      <c r="A116" s="68">
        <v>110</v>
      </c>
      <c r="B116" s="69" t="s">
        <v>254</v>
      </c>
      <c r="C116" s="69" t="s">
        <v>819</v>
      </c>
      <c r="D116" s="69" t="s">
        <v>513</v>
      </c>
      <c r="E116" s="69" t="s">
        <v>259</v>
      </c>
      <c r="F116" s="69" t="s">
        <v>510</v>
      </c>
      <c r="G116" s="69" t="s">
        <v>237</v>
      </c>
      <c r="H116" s="70">
        <v>0</v>
      </c>
      <c r="I116" s="70">
        <v>0</v>
      </c>
      <c r="J116" s="70">
        <v>3</v>
      </c>
      <c r="K116" s="70">
        <v>0.5</v>
      </c>
      <c r="L116" s="71">
        <v>0</v>
      </c>
      <c r="M116" s="71">
        <v>0</v>
      </c>
      <c r="N116" s="71">
        <v>3</v>
      </c>
      <c r="O116" s="71">
        <v>0.5</v>
      </c>
      <c r="P116" s="70">
        <v>0</v>
      </c>
      <c r="Q116" s="70">
        <v>0</v>
      </c>
      <c r="R116" s="70">
        <v>3</v>
      </c>
      <c r="S116" s="70">
        <v>0.5</v>
      </c>
      <c r="T116" s="71">
        <v>0</v>
      </c>
      <c r="U116" s="71">
        <v>0</v>
      </c>
      <c r="V116" s="71">
        <v>3</v>
      </c>
      <c r="W116" s="71">
        <v>0.5</v>
      </c>
      <c r="X116" s="70">
        <v>0</v>
      </c>
      <c r="Y116" s="70">
        <v>0</v>
      </c>
      <c r="Z116" s="70">
        <v>3</v>
      </c>
      <c r="AA116" s="70">
        <v>0.5</v>
      </c>
      <c r="AB116" s="71">
        <v>0</v>
      </c>
      <c r="AC116" s="71">
        <v>0</v>
      </c>
      <c r="AD116" s="71">
        <v>3</v>
      </c>
      <c r="AE116" s="71">
        <v>0.5</v>
      </c>
      <c r="AF116" s="70">
        <v>0</v>
      </c>
      <c r="AG116" s="70">
        <v>0</v>
      </c>
      <c r="AH116" s="70">
        <v>3</v>
      </c>
      <c r="AI116" s="70">
        <v>0.5</v>
      </c>
      <c r="AJ116" s="72" t="s">
        <v>931</v>
      </c>
    </row>
    <row r="117" spans="1:36" customFormat="1" x14ac:dyDescent="0.25">
      <c r="A117" s="68">
        <v>111</v>
      </c>
      <c r="B117" s="69" t="s">
        <v>254</v>
      </c>
      <c r="C117" s="69" t="s">
        <v>819</v>
      </c>
      <c r="D117" s="69" t="s">
        <v>514</v>
      </c>
      <c r="E117" s="69" t="s">
        <v>417</v>
      </c>
      <c r="F117" s="69" t="s">
        <v>510</v>
      </c>
      <c r="G117" s="69" t="s">
        <v>237</v>
      </c>
      <c r="H117" s="70">
        <v>0</v>
      </c>
      <c r="I117" s="70">
        <v>0</v>
      </c>
      <c r="J117" s="70">
        <v>0</v>
      </c>
      <c r="K117" s="70">
        <v>0</v>
      </c>
      <c r="L117" s="71">
        <v>0</v>
      </c>
      <c r="M117" s="71">
        <v>0</v>
      </c>
      <c r="N117" s="71">
        <v>0</v>
      </c>
      <c r="O117" s="71">
        <v>0</v>
      </c>
      <c r="P117" s="70">
        <v>0</v>
      </c>
      <c r="Q117" s="70">
        <v>0</v>
      </c>
      <c r="R117" s="70">
        <v>0</v>
      </c>
      <c r="S117" s="70">
        <v>0</v>
      </c>
      <c r="T117" s="71">
        <v>0</v>
      </c>
      <c r="U117" s="71">
        <v>0</v>
      </c>
      <c r="V117" s="71">
        <v>0</v>
      </c>
      <c r="W117" s="71">
        <v>0</v>
      </c>
      <c r="X117" s="70">
        <v>0</v>
      </c>
      <c r="Y117" s="70">
        <v>0</v>
      </c>
      <c r="Z117" s="70">
        <v>0</v>
      </c>
      <c r="AA117" s="70">
        <v>0</v>
      </c>
      <c r="AB117" s="71">
        <v>0</v>
      </c>
      <c r="AC117" s="71">
        <v>0</v>
      </c>
      <c r="AD117" s="71">
        <v>0</v>
      </c>
      <c r="AE117" s="71">
        <v>0</v>
      </c>
      <c r="AF117" s="70">
        <v>0</v>
      </c>
      <c r="AG117" s="70">
        <v>0</v>
      </c>
      <c r="AH117" s="70">
        <v>0</v>
      </c>
      <c r="AI117" s="70">
        <v>0</v>
      </c>
      <c r="AJ117" s="72" t="s">
        <v>931</v>
      </c>
    </row>
    <row r="118" spans="1:36" customFormat="1" x14ac:dyDescent="0.25">
      <c r="A118" s="68">
        <v>112</v>
      </c>
      <c r="B118" s="69" t="s">
        <v>254</v>
      </c>
      <c r="C118" s="69" t="s">
        <v>819</v>
      </c>
      <c r="D118" s="69" t="s">
        <v>515</v>
      </c>
      <c r="E118" s="69" t="s">
        <v>419</v>
      </c>
      <c r="F118" s="69" t="s">
        <v>510</v>
      </c>
      <c r="G118" s="69" t="s">
        <v>237</v>
      </c>
      <c r="H118" s="70">
        <v>80</v>
      </c>
      <c r="I118" s="70">
        <v>64</v>
      </c>
      <c r="J118" s="70">
        <v>96</v>
      </c>
      <c r="K118" s="70">
        <v>42.666666666666664</v>
      </c>
      <c r="L118" s="71">
        <v>80</v>
      </c>
      <c r="M118" s="71">
        <v>64</v>
      </c>
      <c r="N118" s="71">
        <v>96</v>
      </c>
      <c r="O118" s="71">
        <v>42.666666666666664</v>
      </c>
      <c r="P118" s="70">
        <v>80</v>
      </c>
      <c r="Q118" s="70">
        <v>64</v>
      </c>
      <c r="R118" s="70">
        <v>96</v>
      </c>
      <c r="S118" s="70">
        <v>42.666666666666664</v>
      </c>
      <c r="T118" s="71">
        <v>80</v>
      </c>
      <c r="U118" s="71">
        <v>64</v>
      </c>
      <c r="V118" s="71">
        <v>96</v>
      </c>
      <c r="W118" s="71">
        <v>42.666666666666664</v>
      </c>
      <c r="X118" s="70">
        <v>80</v>
      </c>
      <c r="Y118" s="70">
        <v>64</v>
      </c>
      <c r="Z118" s="70">
        <v>96</v>
      </c>
      <c r="AA118" s="70">
        <v>42.666666666666664</v>
      </c>
      <c r="AB118" s="71">
        <v>80</v>
      </c>
      <c r="AC118" s="71">
        <v>64</v>
      </c>
      <c r="AD118" s="71">
        <v>96</v>
      </c>
      <c r="AE118" s="71">
        <v>42.666666666666664</v>
      </c>
      <c r="AF118" s="70">
        <v>80</v>
      </c>
      <c r="AG118" s="70">
        <v>64</v>
      </c>
      <c r="AH118" s="70">
        <v>96</v>
      </c>
      <c r="AI118" s="70">
        <v>42.666666666666664</v>
      </c>
      <c r="AJ118" s="72" t="s">
        <v>931</v>
      </c>
    </row>
    <row r="119" spans="1:36" customFormat="1" x14ac:dyDescent="0.25">
      <c r="A119" s="68">
        <v>113</v>
      </c>
      <c r="B119" s="69" t="s">
        <v>254</v>
      </c>
      <c r="C119" s="69" t="s">
        <v>820</v>
      </c>
      <c r="D119" s="69" t="s">
        <v>516</v>
      </c>
      <c r="E119" s="69" t="s">
        <v>265</v>
      </c>
      <c r="F119" s="69" t="s">
        <v>489</v>
      </c>
      <c r="G119" s="69" t="s">
        <v>237</v>
      </c>
      <c r="H119" s="70">
        <v>4</v>
      </c>
      <c r="I119" s="70">
        <v>3.2</v>
      </c>
      <c r="J119" s="70">
        <v>4.8</v>
      </c>
      <c r="K119" s="70">
        <v>0.10666666666666676</v>
      </c>
      <c r="L119" s="71">
        <v>4</v>
      </c>
      <c r="M119" s="71">
        <v>3.2</v>
      </c>
      <c r="N119" s="71">
        <v>4.8</v>
      </c>
      <c r="O119" s="71">
        <v>0.10666666666666676</v>
      </c>
      <c r="P119" s="70">
        <v>4</v>
      </c>
      <c r="Q119" s="70">
        <v>3.2</v>
      </c>
      <c r="R119" s="70">
        <v>4.8</v>
      </c>
      <c r="S119" s="70">
        <v>0.10666666666666676</v>
      </c>
      <c r="T119" s="71">
        <v>4</v>
      </c>
      <c r="U119" s="71">
        <v>3.2</v>
      </c>
      <c r="V119" s="71">
        <v>4.8</v>
      </c>
      <c r="W119" s="71">
        <v>0.10666666666666676</v>
      </c>
      <c r="X119" s="70">
        <v>4</v>
      </c>
      <c r="Y119" s="70">
        <v>3.2</v>
      </c>
      <c r="Z119" s="70">
        <v>4.8</v>
      </c>
      <c r="AA119" s="70">
        <v>0.10666666666666676</v>
      </c>
      <c r="AB119" s="71">
        <v>4</v>
      </c>
      <c r="AC119" s="71">
        <v>3.2</v>
      </c>
      <c r="AD119" s="71">
        <v>4.8</v>
      </c>
      <c r="AE119" s="71">
        <v>0.10666666666666676</v>
      </c>
      <c r="AF119" s="70">
        <v>4</v>
      </c>
      <c r="AG119" s="70">
        <v>3.2</v>
      </c>
      <c r="AH119" s="70">
        <v>4.8</v>
      </c>
      <c r="AI119" s="70">
        <v>0.10666666666666676</v>
      </c>
      <c r="AJ119" s="72" t="s">
        <v>931</v>
      </c>
    </row>
    <row r="120" spans="1:36" customFormat="1" x14ac:dyDescent="0.25">
      <c r="A120" s="68">
        <v>114</v>
      </c>
      <c r="B120" s="69" t="s">
        <v>254</v>
      </c>
      <c r="C120" s="69" t="s">
        <v>820</v>
      </c>
      <c r="D120" s="69" t="s">
        <v>517</v>
      </c>
      <c r="E120" s="69" t="s">
        <v>425</v>
      </c>
      <c r="F120" s="69" t="s">
        <v>489</v>
      </c>
      <c r="G120" s="69" t="s">
        <v>237</v>
      </c>
      <c r="H120" s="70">
        <v>4</v>
      </c>
      <c r="I120" s="70">
        <v>3.2</v>
      </c>
      <c r="J120" s="70">
        <v>4.8</v>
      </c>
      <c r="K120" s="70">
        <v>0.10666666666666676</v>
      </c>
      <c r="L120" s="71">
        <v>4</v>
      </c>
      <c r="M120" s="71">
        <v>3.2</v>
      </c>
      <c r="N120" s="71">
        <v>4.8</v>
      </c>
      <c r="O120" s="71">
        <v>0.10666666666666676</v>
      </c>
      <c r="P120" s="70">
        <v>4</v>
      </c>
      <c r="Q120" s="70">
        <v>3.2</v>
      </c>
      <c r="R120" s="70">
        <v>4.8</v>
      </c>
      <c r="S120" s="70">
        <v>0.10666666666666676</v>
      </c>
      <c r="T120" s="71">
        <v>4</v>
      </c>
      <c r="U120" s="71">
        <v>3.2</v>
      </c>
      <c r="V120" s="71">
        <v>4.8</v>
      </c>
      <c r="W120" s="71">
        <v>0.10666666666666676</v>
      </c>
      <c r="X120" s="70">
        <v>4</v>
      </c>
      <c r="Y120" s="70">
        <v>3.2</v>
      </c>
      <c r="Z120" s="70">
        <v>4.8</v>
      </c>
      <c r="AA120" s="70">
        <v>0.10666666666666676</v>
      </c>
      <c r="AB120" s="71">
        <v>4</v>
      </c>
      <c r="AC120" s="71">
        <v>3.2</v>
      </c>
      <c r="AD120" s="71">
        <v>4.8</v>
      </c>
      <c r="AE120" s="71">
        <v>0.10666666666666676</v>
      </c>
      <c r="AF120" s="70">
        <v>4</v>
      </c>
      <c r="AG120" s="70">
        <v>3.2</v>
      </c>
      <c r="AH120" s="70">
        <v>4.8</v>
      </c>
      <c r="AI120" s="70">
        <v>0.10666666666666676</v>
      </c>
      <c r="AJ120" s="72" t="s">
        <v>931</v>
      </c>
    </row>
    <row r="121" spans="1:36" customFormat="1" x14ac:dyDescent="0.25">
      <c r="A121" s="68">
        <v>115</v>
      </c>
      <c r="B121" s="69" t="s">
        <v>238</v>
      </c>
      <c r="C121" s="69" t="s">
        <v>938</v>
      </c>
      <c r="D121" s="69" t="s">
        <v>524</v>
      </c>
      <c r="E121" s="69" t="s">
        <v>939</v>
      </c>
      <c r="F121" s="69" t="s">
        <v>525</v>
      </c>
      <c r="G121" s="69" t="s">
        <v>237</v>
      </c>
      <c r="H121" s="70">
        <v>1.1300000000000001E-2</v>
      </c>
      <c r="I121" s="70">
        <v>7.4999999999999997E-3</v>
      </c>
      <c r="J121" s="70">
        <v>1.1300000000000001E-2</v>
      </c>
      <c r="K121" s="70">
        <v>8.0222222222222244E-7</v>
      </c>
      <c r="L121" s="71">
        <v>0</v>
      </c>
      <c r="M121" s="71">
        <v>0</v>
      </c>
      <c r="N121" s="71">
        <v>0</v>
      </c>
      <c r="O121" s="71">
        <v>0</v>
      </c>
      <c r="P121" s="70">
        <v>1.1300000000000001E-2</v>
      </c>
      <c r="Q121" s="70">
        <v>7.4999999999999997E-3</v>
      </c>
      <c r="R121" s="70">
        <v>1.1300000000000001E-2</v>
      </c>
      <c r="S121" s="70">
        <v>8.0222222222222244E-7</v>
      </c>
      <c r="T121" s="71">
        <v>1.1300000000000001E-2</v>
      </c>
      <c r="U121" s="71">
        <v>7.4999999999999997E-3</v>
      </c>
      <c r="V121" s="71">
        <v>1.1300000000000001E-2</v>
      </c>
      <c r="W121" s="71">
        <v>8.0222222222222244E-7</v>
      </c>
      <c r="X121" s="70">
        <v>0</v>
      </c>
      <c r="Y121" s="70">
        <v>0</v>
      </c>
      <c r="Z121" s="70">
        <v>0</v>
      </c>
      <c r="AA121" s="70">
        <v>0</v>
      </c>
      <c r="AB121" s="71">
        <v>1.1300000000000001E-2</v>
      </c>
      <c r="AC121" s="71">
        <v>7.4999999999999997E-3</v>
      </c>
      <c r="AD121" s="71">
        <v>1.1300000000000001E-2</v>
      </c>
      <c r="AE121" s="71">
        <v>8.0222222222222244E-7</v>
      </c>
      <c r="AF121" s="70">
        <v>0</v>
      </c>
      <c r="AG121" s="70">
        <v>0</v>
      </c>
      <c r="AH121" s="70">
        <v>0</v>
      </c>
      <c r="AI121" s="70">
        <v>0</v>
      </c>
      <c r="AJ121" s="72" t="s">
        <v>934</v>
      </c>
    </row>
    <row r="122" spans="1:36" customFormat="1" x14ac:dyDescent="0.25">
      <c r="A122" s="68">
        <v>116</v>
      </c>
      <c r="B122" s="69" t="s">
        <v>238</v>
      </c>
      <c r="C122" s="69" t="s">
        <v>938</v>
      </c>
      <c r="D122" s="69" t="s">
        <v>526</v>
      </c>
      <c r="E122" s="69" t="s">
        <v>940</v>
      </c>
      <c r="F122" s="69" t="s">
        <v>527</v>
      </c>
      <c r="G122" s="69" t="s">
        <v>237</v>
      </c>
      <c r="H122" s="70">
        <v>6.1200000000000004E-2</v>
      </c>
      <c r="I122" s="70">
        <v>5.3200000000000004E-2</v>
      </c>
      <c r="J122" s="70">
        <v>6.9199999999999998E-2</v>
      </c>
      <c r="K122" s="70">
        <v>1.0666666666666684E-5</v>
      </c>
      <c r="L122" s="71">
        <v>0</v>
      </c>
      <c r="M122" s="71">
        <v>0</v>
      </c>
      <c r="N122" s="71">
        <v>0</v>
      </c>
      <c r="O122" s="71">
        <v>0</v>
      </c>
      <c r="P122" s="70">
        <v>6.1200000000000004E-2</v>
      </c>
      <c r="Q122" s="70">
        <v>5.3200000000000004E-2</v>
      </c>
      <c r="R122" s="70">
        <v>6.9199999999999998E-2</v>
      </c>
      <c r="S122" s="70">
        <v>1.0666666666666684E-5</v>
      </c>
      <c r="T122" s="71">
        <v>6.1200000000000004E-2</v>
      </c>
      <c r="U122" s="71">
        <v>5.3200000000000004E-2</v>
      </c>
      <c r="V122" s="71">
        <v>6.9199999999999998E-2</v>
      </c>
      <c r="W122" s="71">
        <v>1.0666666666666684E-5</v>
      </c>
      <c r="X122" s="70">
        <v>0</v>
      </c>
      <c r="Y122" s="70">
        <v>0</v>
      </c>
      <c r="Z122" s="70">
        <v>0</v>
      </c>
      <c r="AA122" s="70">
        <v>0</v>
      </c>
      <c r="AB122" s="71">
        <v>6.1200000000000004E-2</v>
      </c>
      <c r="AC122" s="71">
        <v>5.3200000000000004E-2</v>
      </c>
      <c r="AD122" s="71">
        <v>6.9199999999999998E-2</v>
      </c>
      <c r="AE122" s="71">
        <v>1.0666666666666684E-5</v>
      </c>
      <c r="AF122" s="70">
        <v>0</v>
      </c>
      <c r="AG122" s="70">
        <v>0</v>
      </c>
      <c r="AH122" s="70">
        <v>0</v>
      </c>
      <c r="AI122" s="70">
        <v>0</v>
      </c>
      <c r="AJ122" s="72" t="s">
        <v>934</v>
      </c>
    </row>
    <row r="123" spans="1:36" customFormat="1" x14ac:dyDescent="0.25">
      <c r="A123" s="68">
        <v>117</v>
      </c>
      <c r="B123" s="69" t="s">
        <v>238</v>
      </c>
      <c r="C123" s="69" t="s">
        <v>936</v>
      </c>
      <c r="D123" s="69" t="s">
        <v>528</v>
      </c>
      <c r="E123" s="69" t="s">
        <v>926</v>
      </c>
      <c r="F123" s="69" t="s">
        <v>529</v>
      </c>
      <c r="G123" s="69" t="s">
        <v>237</v>
      </c>
      <c r="H123" s="70">
        <v>0</v>
      </c>
      <c r="I123" s="70">
        <v>0</v>
      </c>
      <c r="J123" s="70">
        <v>0</v>
      </c>
      <c r="K123" s="70">
        <v>0</v>
      </c>
      <c r="L123" s="71">
        <v>440000000</v>
      </c>
      <c r="M123" s="71">
        <v>352000000</v>
      </c>
      <c r="N123" s="71">
        <v>528000000</v>
      </c>
      <c r="O123" s="71">
        <v>1290666666666666.5</v>
      </c>
      <c r="P123" s="70">
        <v>387500000</v>
      </c>
      <c r="Q123" s="70">
        <v>310000000</v>
      </c>
      <c r="R123" s="70">
        <v>465000000</v>
      </c>
      <c r="S123" s="70">
        <v>1001041666666666.6</v>
      </c>
      <c r="T123" s="71">
        <v>387500000</v>
      </c>
      <c r="U123" s="71">
        <v>310000000</v>
      </c>
      <c r="V123" s="71">
        <v>465000000</v>
      </c>
      <c r="W123" s="71">
        <v>1001041666666666.6</v>
      </c>
      <c r="X123" s="70">
        <v>109500000</v>
      </c>
      <c r="Y123" s="70">
        <v>87600000</v>
      </c>
      <c r="Z123" s="70">
        <v>131400000</v>
      </c>
      <c r="AA123" s="70">
        <v>79935000000000</v>
      </c>
      <c r="AB123" s="71">
        <v>5998340.2489626547</v>
      </c>
      <c r="AC123" s="71">
        <v>4798672.1991701238</v>
      </c>
      <c r="AD123" s="71">
        <v>7198008.2987551857</v>
      </c>
      <c r="AE123" s="71">
        <v>239867238282.16882</v>
      </c>
      <c r="AF123" s="70">
        <v>0</v>
      </c>
      <c r="AG123" s="70">
        <v>0</v>
      </c>
      <c r="AH123" s="70">
        <v>0</v>
      </c>
      <c r="AI123" s="70">
        <v>0</v>
      </c>
      <c r="AJ123" s="72" t="s">
        <v>478</v>
      </c>
    </row>
    <row r="124" spans="1:36" customFormat="1" x14ac:dyDescent="0.25">
      <c r="A124" s="68">
        <v>118</v>
      </c>
      <c r="B124" s="69" t="s">
        <v>238</v>
      </c>
      <c r="C124" s="69" t="s">
        <v>936</v>
      </c>
      <c r="D124" s="69" t="s">
        <v>530</v>
      </c>
      <c r="E124" s="69" t="s">
        <v>531</v>
      </c>
      <c r="F124" s="69" t="s">
        <v>532</v>
      </c>
      <c r="G124" s="69" t="s">
        <v>237</v>
      </c>
      <c r="H124" s="70">
        <v>0</v>
      </c>
      <c r="I124" s="70">
        <v>0</v>
      </c>
      <c r="J124" s="70">
        <v>0</v>
      </c>
      <c r="K124" s="70">
        <v>0</v>
      </c>
      <c r="L124" s="71">
        <v>126719.99999999999</v>
      </c>
      <c r="M124" s="71">
        <v>101375.99999999999</v>
      </c>
      <c r="N124" s="71">
        <v>152064</v>
      </c>
      <c r="O124" s="71">
        <v>107053056</v>
      </c>
      <c r="P124" s="70">
        <v>126720.00000000001</v>
      </c>
      <c r="Q124" s="70">
        <v>101376.00000000001</v>
      </c>
      <c r="R124" s="70">
        <v>152064.00000000003</v>
      </c>
      <c r="S124" s="70">
        <v>107053055.99999978</v>
      </c>
      <c r="T124" s="71">
        <v>126720.00000000001</v>
      </c>
      <c r="U124" s="71">
        <v>101376.00000000001</v>
      </c>
      <c r="V124" s="71">
        <v>152064.00000000003</v>
      </c>
      <c r="W124" s="71">
        <v>107053055.99999978</v>
      </c>
      <c r="X124" s="70">
        <v>52800</v>
      </c>
      <c r="Y124" s="70">
        <v>42240</v>
      </c>
      <c r="Z124" s="70">
        <v>63360</v>
      </c>
      <c r="AA124" s="70">
        <v>18585600</v>
      </c>
      <c r="AB124" s="71">
        <v>4224</v>
      </c>
      <c r="AC124" s="71">
        <v>3379.2</v>
      </c>
      <c r="AD124" s="71">
        <v>5068.8</v>
      </c>
      <c r="AE124" s="71">
        <v>118947.84000000005</v>
      </c>
      <c r="AF124" s="70">
        <v>0</v>
      </c>
      <c r="AG124" s="70">
        <v>0</v>
      </c>
      <c r="AH124" s="70">
        <v>0</v>
      </c>
      <c r="AI124" s="70">
        <v>0</v>
      </c>
      <c r="AJ124" s="72" t="s">
        <v>478</v>
      </c>
    </row>
    <row r="125" spans="1:36" customFormat="1" x14ac:dyDescent="0.25">
      <c r="A125" s="68">
        <v>119</v>
      </c>
      <c r="B125" s="69" t="s">
        <v>238</v>
      </c>
      <c r="C125" s="69" t="s">
        <v>936</v>
      </c>
      <c r="D125" s="69" t="s">
        <v>239</v>
      </c>
      <c r="E125" s="69" t="s">
        <v>240</v>
      </c>
      <c r="F125" s="69" t="s">
        <v>518</v>
      </c>
      <c r="G125" s="69" t="s">
        <v>237</v>
      </c>
      <c r="H125" s="70">
        <v>0</v>
      </c>
      <c r="I125" s="70">
        <v>0</v>
      </c>
      <c r="J125" s="70">
        <v>0</v>
      </c>
      <c r="K125" s="70">
        <v>0</v>
      </c>
      <c r="L125" s="71">
        <v>30</v>
      </c>
      <c r="M125" s="71">
        <v>28</v>
      </c>
      <c r="N125" s="71">
        <v>33</v>
      </c>
      <c r="O125" s="71">
        <v>1.0555555555555556</v>
      </c>
      <c r="P125" s="70">
        <v>15.724137931034484</v>
      </c>
      <c r="Q125" s="70">
        <v>14.731034482758623</v>
      </c>
      <c r="R125" s="70">
        <v>16.551724137931036</v>
      </c>
      <c r="S125" s="70">
        <v>0.13850178359096629</v>
      </c>
      <c r="T125" s="71">
        <v>15.724137931034484</v>
      </c>
      <c r="U125" s="71">
        <v>14.731034482758623</v>
      </c>
      <c r="V125" s="71">
        <v>16.551724137931036</v>
      </c>
      <c r="W125" s="71">
        <v>0.13850178359096629</v>
      </c>
      <c r="X125" s="70">
        <v>15.117836585454144</v>
      </c>
      <c r="Y125" s="70">
        <v>14.731034482758623</v>
      </c>
      <c r="Z125" s="70">
        <v>16.551724137931036</v>
      </c>
      <c r="AA125" s="70">
        <v>0.15334889445138186</v>
      </c>
      <c r="AB125" s="71">
        <v>0</v>
      </c>
      <c r="AC125" s="71">
        <v>0</v>
      </c>
      <c r="AD125" s="71">
        <v>0</v>
      </c>
      <c r="AE125" s="71">
        <v>0</v>
      </c>
      <c r="AF125" s="70">
        <v>0</v>
      </c>
      <c r="AG125" s="70">
        <v>0</v>
      </c>
      <c r="AH125" s="70">
        <v>0</v>
      </c>
      <c r="AI125" s="70">
        <v>0</v>
      </c>
      <c r="AJ125" s="72" t="s">
        <v>1041</v>
      </c>
    </row>
    <row r="126" spans="1:36" customFormat="1" x14ac:dyDescent="0.25">
      <c r="A126" s="68">
        <v>120</v>
      </c>
      <c r="B126" s="69" t="s">
        <v>238</v>
      </c>
      <c r="C126" s="69" t="s">
        <v>936</v>
      </c>
      <c r="D126" s="69" t="s">
        <v>355</v>
      </c>
      <c r="E126" s="69" t="s">
        <v>533</v>
      </c>
      <c r="F126" s="69" t="s">
        <v>529</v>
      </c>
      <c r="G126" s="69" t="s">
        <v>237</v>
      </c>
      <c r="H126" s="70">
        <v>0</v>
      </c>
      <c r="I126" s="70">
        <v>0</v>
      </c>
      <c r="J126" s="70">
        <v>0</v>
      </c>
      <c r="K126" s="70">
        <v>0</v>
      </c>
      <c r="L126" s="71">
        <v>8762.5676720804331</v>
      </c>
      <c r="M126" s="71">
        <v>7010.0541376643469</v>
      </c>
      <c r="N126" s="71">
        <v>10515.081206496519</v>
      </c>
      <c r="O126" s="71">
        <v>511883.9480519286</v>
      </c>
      <c r="P126" s="70">
        <v>0</v>
      </c>
      <c r="Q126" s="70">
        <v>0</v>
      </c>
      <c r="R126" s="70">
        <v>0</v>
      </c>
      <c r="S126" s="70">
        <v>0</v>
      </c>
      <c r="T126" s="71">
        <v>0</v>
      </c>
      <c r="U126" s="71">
        <v>0</v>
      </c>
      <c r="V126" s="71">
        <v>0</v>
      </c>
      <c r="W126" s="71">
        <v>0</v>
      </c>
      <c r="X126" s="70">
        <v>0</v>
      </c>
      <c r="Y126" s="70">
        <v>0</v>
      </c>
      <c r="Z126" s="70">
        <v>0</v>
      </c>
      <c r="AA126" s="70">
        <v>0</v>
      </c>
      <c r="AB126" s="71">
        <v>0</v>
      </c>
      <c r="AC126" s="71">
        <v>0</v>
      </c>
      <c r="AD126" s="71">
        <v>0</v>
      </c>
      <c r="AE126" s="71">
        <v>0</v>
      </c>
      <c r="AF126" s="70">
        <v>0</v>
      </c>
      <c r="AG126" s="70">
        <v>0</v>
      </c>
      <c r="AH126" s="70">
        <v>0</v>
      </c>
      <c r="AI126" s="70">
        <v>0</v>
      </c>
      <c r="AJ126" s="72" t="s">
        <v>478</v>
      </c>
    </row>
    <row r="127" spans="1:36" customFormat="1" x14ac:dyDescent="0.25">
      <c r="A127" s="68">
        <v>121</v>
      </c>
      <c r="B127" s="69" t="s">
        <v>238</v>
      </c>
      <c r="C127" s="69" t="s">
        <v>936</v>
      </c>
      <c r="D127" s="69" t="s">
        <v>534</v>
      </c>
      <c r="E127" s="69" t="s">
        <v>535</v>
      </c>
      <c r="F127" s="69" t="s">
        <v>529</v>
      </c>
      <c r="G127" s="69" t="s">
        <v>237</v>
      </c>
      <c r="H127" s="70">
        <v>0</v>
      </c>
      <c r="I127" s="70">
        <v>0</v>
      </c>
      <c r="J127" s="70">
        <v>0</v>
      </c>
      <c r="K127" s="70">
        <v>0</v>
      </c>
      <c r="L127" s="71">
        <v>0</v>
      </c>
      <c r="M127" s="71">
        <v>0</v>
      </c>
      <c r="N127" s="71">
        <v>0</v>
      </c>
      <c r="O127" s="71">
        <v>0</v>
      </c>
      <c r="P127" s="70">
        <v>0</v>
      </c>
      <c r="Q127" s="70">
        <v>0</v>
      </c>
      <c r="R127" s="70">
        <v>0</v>
      </c>
      <c r="S127" s="70">
        <v>0</v>
      </c>
      <c r="T127" s="71">
        <v>0</v>
      </c>
      <c r="U127" s="71">
        <v>0</v>
      </c>
      <c r="V127" s="71">
        <v>0</v>
      </c>
      <c r="W127" s="71">
        <v>0</v>
      </c>
      <c r="X127" s="70">
        <v>0</v>
      </c>
      <c r="Y127" s="70">
        <v>0</v>
      </c>
      <c r="Z127" s="70">
        <v>0</v>
      </c>
      <c r="AA127" s="70">
        <v>0</v>
      </c>
      <c r="AB127" s="71">
        <v>0</v>
      </c>
      <c r="AC127" s="71">
        <v>0</v>
      </c>
      <c r="AD127" s="71">
        <v>0</v>
      </c>
      <c r="AE127" s="71">
        <v>0</v>
      </c>
      <c r="AF127" s="70">
        <v>0</v>
      </c>
      <c r="AG127" s="70">
        <v>0</v>
      </c>
      <c r="AH127" s="70">
        <v>0</v>
      </c>
      <c r="AI127" s="70">
        <v>0</v>
      </c>
      <c r="AJ127" s="72" t="s">
        <v>478</v>
      </c>
    </row>
    <row r="128" spans="1:36" customFormat="1" x14ac:dyDescent="0.25">
      <c r="A128" s="68">
        <v>122</v>
      </c>
      <c r="B128" s="69" t="s">
        <v>238</v>
      </c>
      <c r="C128" s="69" t="s">
        <v>936</v>
      </c>
      <c r="D128" s="69" t="s">
        <v>536</v>
      </c>
      <c r="E128" s="69" t="s">
        <v>537</v>
      </c>
      <c r="F128" s="69" t="s">
        <v>529</v>
      </c>
      <c r="G128" s="69" t="s">
        <v>237</v>
      </c>
      <c r="H128" s="70">
        <v>0</v>
      </c>
      <c r="I128" s="70">
        <v>0</v>
      </c>
      <c r="J128" s="70">
        <v>0</v>
      </c>
      <c r="K128" s="70">
        <v>0</v>
      </c>
      <c r="L128" s="71">
        <v>1023255.8139534883</v>
      </c>
      <c r="M128" s="71">
        <v>818604.6511627906</v>
      </c>
      <c r="N128" s="71">
        <v>1227906.9767441859</v>
      </c>
      <c r="O128" s="71">
        <v>6980349738.5974388</v>
      </c>
      <c r="P128" s="70">
        <v>0</v>
      </c>
      <c r="Q128" s="70">
        <v>0</v>
      </c>
      <c r="R128" s="70">
        <v>0</v>
      </c>
      <c r="S128" s="70">
        <v>0</v>
      </c>
      <c r="T128" s="71">
        <v>0</v>
      </c>
      <c r="U128" s="71">
        <v>0</v>
      </c>
      <c r="V128" s="71">
        <v>0</v>
      </c>
      <c r="W128" s="71">
        <v>0</v>
      </c>
      <c r="X128" s="70">
        <v>0</v>
      </c>
      <c r="Y128" s="70">
        <v>0</v>
      </c>
      <c r="Z128" s="70">
        <v>0</v>
      </c>
      <c r="AA128" s="70">
        <v>0</v>
      </c>
      <c r="AB128" s="71">
        <v>63.867219917012441</v>
      </c>
      <c r="AC128" s="71">
        <v>51.093775933609955</v>
      </c>
      <c r="AD128" s="71">
        <v>76.640663900414935</v>
      </c>
      <c r="AE128" s="71">
        <v>27.193478532853479</v>
      </c>
      <c r="AF128" s="70">
        <v>0</v>
      </c>
      <c r="AG128" s="70">
        <v>0</v>
      </c>
      <c r="AH128" s="70">
        <v>0</v>
      </c>
      <c r="AI128" s="70">
        <v>0</v>
      </c>
      <c r="AJ128" s="72" t="s">
        <v>478</v>
      </c>
    </row>
    <row r="129" spans="1:36" customFormat="1" x14ac:dyDescent="0.25">
      <c r="A129" s="68">
        <v>123</v>
      </c>
      <c r="B129" s="69" t="s">
        <v>238</v>
      </c>
      <c r="C129" s="69" t="s">
        <v>936</v>
      </c>
      <c r="D129" s="69" t="s">
        <v>538</v>
      </c>
      <c r="E129" s="69" t="s">
        <v>893</v>
      </c>
      <c r="F129" s="69" t="s">
        <v>529</v>
      </c>
      <c r="G129" s="69" t="s">
        <v>237</v>
      </c>
      <c r="H129" s="70">
        <v>0</v>
      </c>
      <c r="I129" s="70">
        <v>0</v>
      </c>
      <c r="J129" s="70">
        <v>0</v>
      </c>
      <c r="K129" s="70">
        <v>0</v>
      </c>
      <c r="L129" s="71">
        <v>493426.14075792726</v>
      </c>
      <c r="M129" s="71">
        <v>394740.91260634182</v>
      </c>
      <c r="N129" s="71">
        <v>592111.36890951276</v>
      </c>
      <c r="O129" s="71">
        <v>1623129042.5550773</v>
      </c>
      <c r="P129" s="70">
        <v>0</v>
      </c>
      <c r="Q129" s="70">
        <v>0</v>
      </c>
      <c r="R129" s="70">
        <v>0</v>
      </c>
      <c r="S129" s="70">
        <v>0</v>
      </c>
      <c r="T129" s="71">
        <v>0</v>
      </c>
      <c r="U129" s="71">
        <v>0</v>
      </c>
      <c r="V129" s="71">
        <v>0</v>
      </c>
      <c r="W129" s="71">
        <v>0</v>
      </c>
      <c r="X129" s="70">
        <v>0</v>
      </c>
      <c r="Y129" s="70">
        <v>0</v>
      </c>
      <c r="Z129" s="70">
        <v>0</v>
      </c>
      <c r="AA129" s="70">
        <v>0</v>
      </c>
      <c r="AB129" s="71">
        <v>0</v>
      </c>
      <c r="AC129" s="71">
        <v>0</v>
      </c>
      <c r="AD129" s="71">
        <v>0</v>
      </c>
      <c r="AE129" s="71">
        <v>0</v>
      </c>
      <c r="AF129" s="70">
        <v>0</v>
      </c>
      <c r="AG129" s="70">
        <v>0</v>
      </c>
      <c r="AH129" s="70">
        <v>0</v>
      </c>
      <c r="AI129" s="70">
        <v>0</v>
      </c>
      <c r="AJ129" s="72" t="s">
        <v>478</v>
      </c>
    </row>
    <row r="130" spans="1:36" customFormat="1" x14ac:dyDescent="0.25">
      <c r="A130" s="68">
        <v>124</v>
      </c>
      <c r="B130" s="69" t="s">
        <v>238</v>
      </c>
      <c r="C130" s="69" t="s">
        <v>936</v>
      </c>
      <c r="D130" s="69" t="s">
        <v>539</v>
      </c>
      <c r="E130" s="69" t="s">
        <v>894</v>
      </c>
      <c r="F130" s="69" t="s">
        <v>529</v>
      </c>
      <c r="G130" s="69" t="s">
        <v>237</v>
      </c>
      <c r="H130" s="70">
        <v>0</v>
      </c>
      <c r="I130" s="70">
        <v>0</v>
      </c>
      <c r="J130" s="70">
        <v>0</v>
      </c>
      <c r="K130" s="70">
        <v>0</v>
      </c>
      <c r="L130" s="71">
        <v>0</v>
      </c>
      <c r="M130" s="71">
        <v>0</v>
      </c>
      <c r="N130" s="71">
        <v>0</v>
      </c>
      <c r="O130" s="71">
        <v>0</v>
      </c>
      <c r="P130" s="70">
        <v>0</v>
      </c>
      <c r="Q130" s="70">
        <v>0</v>
      </c>
      <c r="R130" s="70">
        <v>0</v>
      </c>
      <c r="S130" s="70">
        <v>0</v>
      </c>
      <c r="T130" s="71">
        <v>0</v>
      </c>
      <c r="U130" s="71">
        <v>0</v>
      </c>
      <c r="V130" s="71">
        <v>0</v>
      </c>
      <c r="W130" s="71">
        <v>0</v>
      </c>
      <c r="X130" s="70">
        <v>0</v>
      </c>
      <c r="Y130" s="70">
        <v>0</v>
      </c>
      <c r="Z130" s="70">
        <v>0</v>
      </c>
      <c r="AA130" s="70">
        <v>0</v>
      </c>
      <c r="AB130" s="71">
        <v>0</v>
      </c>
      <c r="AC130" s="71">
        <v>0</v>
      </c>
      <c r="AD130" s="71">
        <v>0</v>
      </c>
      <c r="AE130" s="71">
        <v>0</v>
      </c>
      <c r="AF130" s="70">
        <v>0</v>
      </c>
      <c r="AG130" s="70">
        <v>0</v>
      </c>
      <c r="AH130" s="70">
        <v>0</v>
      </c>
      <c r="AI130" s="70">
        <v>0</v>
      </c>
      <c r="AJ130" s="72" t="s">
        <v>478</v>
      </c>
    </row>
    <row r="131" spans="1:36" customFormat="1" x14ac:dyDescent="0.25">
      <c r="A131" s="68">
        <v>125</v>
      </c>
      <c r="B131" s="69" t="s">
        <v>238</v>
      </c>
      <c r="C131" s="69" t="s">
        <v>936</v>
      </c>
      <c r="D131" s="69" t="s">
        <v>86</v>
      </c>
      <c r="E131" s="69" t="s">
        <v>540</v>
      </c>
      <c r="F131" s="69" t="s">
        <v>529</v>
      </c>
      <c r="G131" s="69" t="s">
        <v>237</v>
      </c>
      <c r="H131" s="70">
        <v>0</v>
      </c>
      <c r="I131" s="70">
        <v>0</v>
      </c>
      <c r="J131" s="70">
        <v>0</v>
      </c>
      <c r="K131" s="70">
        <v>0</v>
      </c>
      <c r="L131" s="71">
        <v>0</v>
      </c>
      <c r="M131" s="71">
        <v>0</v>
      </c>
      <c r="N131" s="71">
        <v>0</v>
      </c>
      <c r="O131" s="71">
        <v>0</v>
      </c>
      <c r="P131" s="70">
        <v>0</v>
      </c>
      <c r="Q131" s="70">
        <v>0</v>
      </c>
      <c r="R131" s="70">
        <v>0</v>
      </c>
      <c r="S131" s="70">
        <v>0</v>
      </c>
      <c r="T131" s="71">
        <v>0</v>
      </c>
      <c r="U131" s="71">
        <v>0</v>
      </c>
      <c r="V131" s="71">
        <v>0</v>
      </c>
      <c r="W131" s="71">
        <v>0</v>
      </c>
      <c r="X131" s="70">
        <v>0</v>
      </c>
      <c r="Y131" s="70">
        <v>0</v>
      </c>
      <c r="Z131" s="70">
        <v>0</v>
      </c>
      <c r="AA131" s="70">
        <v>0</v>
      </c>
      <c r="AB131" s="71">
        <v>0</v>
      </c>
      <c r="AC131" s="71">
        <v>0</v>
      </c>
      <c r="AD131" s="71">
        <v>0</v>
      </c>
      <c r="AE131" s="71">
        <v>0</v>
      </c>
      <c r="AF131" s="70">
        <v>0</v>
      </c>
      <c r="AG131" s="70">
        <v>0</v>
      </c>
      <c r="AH131" s="70">
        <v>0</v>
      </c>
      <c r="AI131" s="70">
        <v>0</v>
      </c>
      <c r="AJ131" s="72" t="s">
        <v>478</v>
      </c>
    </row>
    <row r="132" spans="1:36" customFormat="1" x14ac:dyDescent="0.25">
      <c r="A132" s="68">
        <v>126</v>
      </c>
      <c r="B132" s="69" t="s">
        <v>238</v>
      </c>
      <c r="C132" s="69" t="s">
        <v>936</v>
      </c>
      <c r="D132" s="69" t="s">
        <v>541</v>
      </c>
      <c r="E132" s="69" t="s">
        <v>542</v>
      </c>
      <c r="F132" s="69" t="s">
        <v>529</v>
      </c>
      <c r="G132" s="69" t="s">
        <v>237</v>
      </c>
      <c r="H132" s="70">
        <v>0</v>
      </c>
      <c r="I132" s="70">
        <v>0</v>
      </c>
      <c r="J132" s="70">
        <v>0</v>
      </c>
      <c r="K132" s="70">
        <v>0</v>
      </c>
      <c r="L132" s="71">
        <v>0</v>
      </c>
      <c r="M132" s="71">
        <v>0</v>
      </c>
      <c r="N132" s="71">
        <v>0</v>
      </c>
      <c r="O132" s="71">
        <v>0</v>
      </c>
      <c r="P132" s="70">
        <v>0</v>
      </c>
      <c r="Q132" s="70">
        <v>0</v>
      </c>
      <c r="R132" s="70">
        <v>0</v>
      </c>
      <c r="S132" s="70">
        <v>0</v>
      </c>
      <c r="T132" s="71">
        <v>0</v>
      </c>
      <c r="U132" s="71">
        <v>0</v>
      </c>
      <c r="V132" s="71">
        <v>0</v>
      </c>
      <c r="W132" s="71">
        <v>0</v>
      </c>
      <c r="X132" s="70">
        <v>0</v>
      </c>
      <c r="Y132" s="70">
        <v>0</v>
      </c>
      <c r="Z132" s="70">
        <v>0</v>
      </c>
      <c r="AA132" s="70">
        <v>0</v>
      </c>
      <c r="AB132" s="71">
        <v>0</v>
      </c>
      <c r="AC132" s="71">
        <v>0</v>
      </c>
      <c r="AD132" s="71">
        <v>0</v>
      </c>
      <c r="AE132" s="71">
        <v>0</v>
      </c>
      <c r="AF132" s="70">
        <v>0</v>
      </c>
      <c r="AG132" s="70">
        <v>0</v>
      </c>
      <c r="AH132" s="70">
        <v>0</v>
      </c>
      <c r="AI132" s="70">
        <v>0</v>
      </c>
      <c r="AJ132" s="72" t="s">
        <v>478</v>
      </c>
    </row>
    <row r="133" spans="1:36" customFormat="1" x14ac:dyDescent="0.25">
      <c r="A133" s="68">
        <v>127</v>
      </c>
      <c r="B133" s="69" t="s">
        <v>238</v>
      </c>
      <c r="C133" s="69" t="s">
        <v>936</v>
      </c>
      <c r="D133" s="69" t="s">
        <v>91</v>
      </c>
      <c r="E133" s="69" t="s">
        <v>543</v>
      </c>
      <c r="F133" s="69" t="s">
        <v>529</v>
      </c>
      <c r="G133" s="69" t="s">
        <v>237</v>
      </c>
      <c r="H133" s="70">
        <v>0</v>
      </c>
      <c r="I133" s="70">
        <v>0</v>
      </c>
      <c r="J133" s="70">
        <v>0</v>
      </c>
      <c r="K133" s="70">
        <v>0</v>
      </c>
      <c r="L133" s="71">
        <v>0</v>
      </c>
      <c r="M133" s="71">
        <v>0</v>
      </c>
      <c r="N133" s="71">
        <v>0</v>
      </c>
      <c r="O133" s="71">
        <v>0</v>
      </c>
      <c r="P133" s="70">
        <v>0</v>
      </c>
      <c r="Q133" s="70">
        <v>0</v>
      </c>
      <c r="R133" s="70">
        <v>0</v>
      </c>
      <c r="S133" s="70">
        <v>0</v>
      </c>
      <c r="T133" s="71">
        <v>0</v>
      </c>
      <c r="U133" s="71">
        <v>0</v>
      </c>
      <c r="V133" s="71">
        <v>0</v>
      </c>
      <c r="W133" s="71">
        <v>0</v>
      </c>
      <c r="X133" s="70">
        <v>0</v>
      </c>
      <c r="Y133" s="70">
        <v>0</v>
      </c>
      <c r="Z133" s="70">
        <v>0</v>
      </c>
      <c r="AA133" s="70">
        <v>0</v>
      </c>
      <c r="AB133" s="71">
        <v>0</v>
      </c>
      <c r="AC133" s="71">
        <v>0</v>
      </c>
      <c r="AD133" s="71">
        <v>0</v>
      </c>
      <c r="AE133" s="71">
        <v>0</v>
      </c>
      <c r="AF133" s="70">
        <v>0</v>
      </c>
      <c r="AG133" s="70">
        <v>0</v>
      </c>
      <c r="AH133" s="70">
        <v>0</v>
      </c>
      <c r="AI133" s="70">
        <v>0</v>
      </c>
      <c r="AJ133" s="72" t="s">
        <v>478</v>
      </c>
    </row>
    <row r="134" spans="1:36" customFormat="1" x14ac:dyDescent="0.25">
      <c r="A134" s="68">
        <v>128</v>
      </c>
      <c r="B134" s="69" t="s">
        <v>238</v>
      </c>
      <c r="C134" s="69" t="s">
        <v>936</v>
      </c>
      <c r="D134" s="69" t="s">
        <v>544</v>
      </c>
      <c r="E134" s="69" t="s">
        <v>545</v>
      </c>
      <c r="F134" s="69" t="s">
        <v>529</v>
      </c>
      <c r="G134" s="69" t="s">
        <v>237</v>
      </c>
      <c r="H134" s="70">
        <v>0</v>
      </c>
      <c r="I134" s="70">
        <v>0</v>
      </c>
      <c r="J134" s="70">
        <v>0</v>
      </c>
      <c r="K134" s="70">
        <v>0</v>
      </c>
      <c r="L134" s="71">
        <v>35560711.523588553</v>
      </c>
      <c r="M134" s="71">
        <v>28448569.218870841</v>
      </c>
      <c r="N134" s="71">
        <v>42672853.828306265</v>
      </c>
      <c r="O134" s="71">
        <v>8430428027092.583</v>
      </c>
      <c r="P134" s="70">
        <v>25387931.034482758</v>
      </c>
      <c r="Q134" s="70">
        <v>20310344.827586208</v>
      </c>
      <c r="R134" s="70">
        <v>30465517.241379309</v>
      </c>
      <c r="S134" s="70">
        <v>4296980281411.0205</v>
      </c>
      <c r="T134" s="71">
        <v>25387931.034482758</v>
      </c>
      <c r="U134" s="71">
        <v>20310344.827586208</v>
      </c>
      <c r="V134" s="71">
        <v>30465517.241379309</v>
      </c>
      <c r="W134" s="71">
        <v>4296980281411.0205</v>
      </c>
      <c r="X134" s="70">
        <v>7174137.931034483</v>
      </c>
      <c r="Y134" s="70">
        <v>5739310.3448275868</v>
      </c>
      <c r="Z134" s="70">
        <v>8608965.5172413792</v>
      </c>
      <c r="AA134" s="70">
        <v>343121700356.71832</v>
      </c>
      <c r="AB134" s="71">
        <v>599.83402489626553</v>
      </c>
      <c r="AC134" s="71">
        <v>479.86721991701245</v>
      </c>
      <c r="AD134" s="71">
        <v>719.80082987551862</v>
      </c>
      <c r="AE134" s="71">
        <v>2398.6723828216941</v>
      </c>
      <c r="AF134" s="70">
        <v>0</v>
      </c>
      <c r="AG134" s="70">
        <v>0</v>
      </c>
      <c r="AH134" s="70">
        <v>0</v>
      </c>
      <c r="AI134" s="70">
        <v>0</v>
      </c>
      <c r="AJ134" s="72" t="s">
        <v>478</v>
      </c>
    </row>
    <row r="135" spans="1:36" customFormat="1" x14ac:dyDescent="0.25">
      <c r="A135" s="68">
        <v>129</v>
      </c>
      <c r="B135" s="69" t="s">
        <v>238</v>
      </c>
      <c r="C135" s="69" t="s">
        <v>936</v>
      </c>
      <c r="D135" s="69" t="s">
        <v>546</v>
      </c>
      <c r="E135" s="69" t="s">
        <v>547</v>
      </c>
      <c r="F135" s="69" t="s">
        <v>529</v>
      </c>
      <c r="G135" s="69" t="s">
        <v>237</v>
      </c>
      <c r="H135" s="70">
        <v>0</v>
      </c>
      <c r="I135" s="70">
        <v>0</v>
      </c>
      <c r="J135" s="70">
        <v>0</v>
      </c>
      <c r="K135" s="70">
        <v>0</v>
      </c>
      <c r="L135" s="71">
        <v>0</v>
      </c>
      <c r="M135" s="71">
        <v>0</v>
      </c>
      <c r="N135" s="71">
        <v>0</v>
      </c>
      <c r="O135" s="71">
        <v>0</v>
      </c>
      <c r="P135" s="70">
        <v>0</v>
      </c>
      <c r="Q135" s="70">
        <v>0</v>
      </c>
      <c r="R135" s="70">
        <v>0</v>
      </c>
      <c r="S135" s="70">
        <v>0</v>
      </c>
      <c r="T135" s="71">
        <v>0</v>
      </c>
      <c r="U135" s="71">
        <v>0</v>
      </c>
      <c r="V135" s="71">
        <v>0</v>
      </c>
      <c r="W135" s="71">
        <v>0</v>
      </c>
      <c r="X135" s="70">
        <v>0</v>
      </c>
      <c r="Y135" s="70">
        <v>0</v>
      </c>
      <c r="Z135" s="70">
        <v>0</v>
      </c>
      <c r="AA135" s="70">
        <v>0</v>
      </c>
      <c r="AB135" s="71">
        <v>6.9045643153526965</v>
      </c>
      <c r="AC135" s="71">
        <v>5.5236514522821576</v>
      </c>
      <c r="AD135" s="71">
        <v>8.2854771784232355</v>
      </c>
      <c r="AE135" s="71">
        <v>0.31782005589894524</v>
      </c>
      <c r="AF135" s="70">
        <v>0</v>
      </c>
      <c r="AG135" s="70">
        <v>0</v>
      </c>
      <c r="AH135" s="70">
        <v>0</v>
      </c>
      <c r="AI135" s="70">
        <v>0</v>
      </c>
      <c r="AJ135" s="72" t="s">
        <v>478</v>
      </c>
    </row>
    <row r="136" spans="1:36" customFormat="1" x14ac:dyDescent="0.25">
      <c r="A136" s="68">
        <v>130</v>
      </c>
      <c r="B136" s="69" t="s">
        <v>238</v>
      </c>
      <c r="C136" s="69" t="s">
        <v>936</v>
      </c>
      <c r="D136" s="69" t="s">
        <v>548</v>
      </c>
      <c r="E136" s="69" t="s">
        <v>549</v>
      </c>
      <c r="F136" s="69" t="s">
        <v>529</v>
      </c>
      <c r="G136" s="69" t="s">
        <v>237</v>
      </c>
      <c r="H136" s="70">
        <v>0</v>
      </c>
      <c r="I136" s="70">
        <v>0</v>
      </c>
      <c r="J136" s="70">
        <v>0</v>
      </c>
      <c r="K136" s="70">
        <v>0</v>
      </c>
      <c r="L136" s="71">
        <v>1204.6403712296983</v>
      </c>
      <c r="M136" s="71">
        <v>963.71229698375862</v>
      </c>
      <c r="N136" s="71">
        <v>1445.5684454756379</v>
      </c>
      <c r="O136" s="71">
        <v>9674.3894933094907</v>
      </c>
      <c r="P136" s="70">
        <v>0</v>
      </c>
      <c r="Q136" s="70">
        <v>0</v>
      </c>
      <c r="R136" s="70">
        <v>0</v>
      </c>
      <c r="S136" s="70">
        <v>0</v>
      </c>
      <c r="T136" s="71">
        <v>0</v>
      </c>
      <c r="U136" s="71">
        <v>0</v>
      </c>
      <c r="V136" s="71">
        <v>0</v>
      </c>
      <c r="W136" s="71">
        <v>0</v>
      </c>
      <c r="X136" s="70">
        <v>0</v>
      </c>
      <c r="Y136" s="70">
        <v>0</v>
      </c>
      <c r="Z136" s="70">
        <v>0</v>
      </c>
      <c r="AA136" s="70">
        <v>0</v>
      </c>
      <c r="AB136" s="71">
        <v>0</v>
      </c>
      <c r="AC136" s="71">
        <v>0</v>
      </c>
      <c r="AD136" s="71">
        <v>0</v>
      </c>
      <c r="AE136" s="71">
        <v>0</v>
      </c>
      <c r="AF136" s="70">
        <v>0</v>
      </c>
      <c r="AG136" s="70">
        <v>0</v>
      </c>
      <c r="AH136" s="70">
        <v>0</v>
      </c>
      <c r="AI136" s="70">
        <v>0</v>
      </c>
      <c r="AJ136" s="72" t="s">
        <v>478</v>
      </c>
    </row>
    <row r="137" spans="1:36" customFormat="1" x14ac:dyDescent="0.25">
      <c r="A137" s="68">
        <v>131</v>
      </c>
      <c r="B137" s="69" t="s">
        <v>238</v>
      </c>
      <c r="C137" s="69" t="s">
        <v>936</v>
      </c>
      <c r="D137" s="69" t="s">
        <v>550</v>
      </c>
      <c r="E137" s="69" t="s">
        <v>551</v>
      </c>
      <c r="F137" s="69" t="s">
        <v>529</v>
      </c>
      <c r="G137" s="69" t="s">
        <v>237</v>
      </c>
      <c r="H137" s="70">
        <v>0</v>
      </c>
      <c r="I137" s="70">
        <v>0</v>
      </c>
      <c r="J137" s="70">
        <v>0</v>
      </c>
      <c r="K137" s="70">
        <v>0</v>
      </c>
      <c r="L137" s="71">
        <v>9664346.4810518175</v>
      </c>
      <c r="M137" s="71">
        <v>7731477.184841454</v>
      </c>
      <c r="N137" s="71">
        <v>11597215.777262181</v>
      </c>
      <c r="O137" s="71">
        <v>622663952705.46094</v>
      </c>
      <c r="P137" s="70">
        <v>14787356.321839083</v>
      </c>
      <c r="Q137" s="70">
        <v>11829885.057471266</v>
      </c>
      <c r="R137" s="70">
        <v>17744827.586206898</v>
      </c>
      <c r="S137" s="70">
        <v>1457772713260.2256</v>
      </c>
      <c r="T137" s="71">
        <v>14787356.321839083</v>
      </c>
      <c r="U137" s="71">
        <v>11829885.057471266</v>
      </c>
      <c r="V137" s="71">
        <v>17744827.586206898</v>
      </c>
      <c r="W137" s="71">
        <v>1457772713260.2256</v>
      </c>
      <c r="X137" s="70">
        <v>4178620.6896551731</v>
      </c>
      <c r="Y137" s="70">
        <v>3342896.5517241387</v>
      </c>
      <c r="Z137" s="70">
        <v>5014344.8275862075</v>
      </c>
      <c r="AA137" s="70">
        <v>116405805786.76149</v>
      </c>
      <c r="AB137" s="71">
        <v>0</v>
      </c>
      <c r="AC137" s="71">
        <v>0</v>
      </c>
      <c r="AD137" s="71">
        <v>0</v>
      </c>
      <c r="AE137" s="71">
        <v>0</v>
      </c>
      <c r="AF137" s="70">
        <v>0</v>
      </c>
      <c r="AG137" s="70">
        <v>0</v>
      </c>
      <c r="AH137" s="70">
        <v>0</v>
      </c>
      <c r="AI137" s="70">
        <v>0</v>
      </c>
      <c r="AJ137" s="72" t="s">
        <v>478</v>
      </c>
    </row>
    <row r="138" spans="1:36" customFormat="1" x14ac:dyDescent="0.25">
      <c r="A138" s="68">
        <v>132</v>
      </c>
      <c r="B138" s="69" t="s">
        <v>238</v>
      </c>
      <c r="C138" s="69" t="s">
        <v>936</v>
      </c>
      <c r="D138" s="69" t="s">
        <v>552</v>
      </c>
      <c r="E138" s="69" t="s">
        <v>553</v>
      </c>
      <c r="F138" s="69" t="s">
        <v>529</v>
      </c>
      <c r="G138" s="69" t="s">
        <v>237</v>
      </c>
      <c r="H138" s="70">
        <v>0</v>
      </c>
      <c r="I138" s="70">
        <v>0</v>
      </c>
      <c r="J138" s="70">
        <v>0</v>
      </c>
      <c r="K138" s="70">
        <v>0</v>
      </c>
      <c r="L138" s="71">
        <v>6125290.0232018558</v>
      </c>
      <c r="M138" s="71">
        <v>4900232.0185614843</v>
      </c>
      <c r="N138" s="71">
        <v>7350348.0278422274</v>
      </c>
      <c r="O138" s="71">
        <v>250127852455.57422</v>
      </c>
      <c r="P138" s="70">
        <v>5394431.5545243621</v>
      </c>
      <c r="Q138" s="70">
        <v>4315545.2436194895</v>
      </c>
      <c r="R138" s="70">
        <v>6473317.8654292347</v>
      </c>
      <c r="S138" s="70">
        <v>193999278642.98782</v>
      </c>
      <c r="T138" s="71">
        <v>5394431.5545243621</v>
      </c>
      <c r="U138" s="71">
        <v>4315545.2436194895</v>
      </c>
      <c r="V138" s="71">
        <v>6473317.8654292347</v>
      </c>
      <c r="W138" s="71">
        <v>193999278642.98782</v>
      </c>
      <c r="X138" s="70">
        <v>1524361.9489559166</v>
      </c>
      <c r="Y138" s="70">
        <v>1219489.5591647332</v>
      </c>
      <c r="Z138" s="70">
        <v>1829234.3387471</v>
      </c>
      <c r="AA138" s="70">
        <v>15491195676.164522</v>
      </c>
      <c r="AB138" s="71">
        <v>0</v>
      </c>
      <c r="AC138" s="71">
        <v>0</v>
      </c>
      <c r="AD138" s="71">
        <v>0</v>
      </c>
      <c r="AE138" s="71">
        <v>0</v>
      </c>
      <c r="AF138" s="70">
        <v>0</v>
      </c>
      <c r="AG138" s="70">
        <v>0</v>
      </c>
      <c r="AH138" s="70">
        <v>0</v>
      </c>
      <c r="AI138" s="70">
        <v>0</v>
      </c>
      <c r="AJ138" s="72" t="s">
        <v>478</v>
      </c>
    </row>
    <row r="139" spans="1:36" customFormat="1" x14ac:dyDescent="0.25">
      <c r="A139" s="68">
        <v>133</v>
      </c>
      <c r="B139" s="69" t="s">
        <v>238</v>
      </c>
      <c r="C139" s="69" t="s">
        <v>936</v>
      </c>
      <c r="D139" s="69" t="s">
        <v>554</v>
      </c>
      <c r="E139" s="69" t="s">
        <v>555</v>
      </c>
      <c r="F139" s="69" t="s">
        <v>529</v>
      </c>
      <c r="G139" s="69" t="s">
        <v>237</v>
      </c>
      <c r="H139" s="70">
        <v>0</v>
      </c>
      <c r="I139" s="70">
        <v>0</v>
      </c>
      <c r="J139" s="70">
        <v>0</v>
      </c>
      <c r="K139" s="70">
        <v>0</v>
      </c>
      <c r="L139" s="71">
        <v>211322.50580046402</v>
      </c>
      <c r="M139" s="71">
        <v>169058.00464037122</v>
      </c>
      <c r="N139" s="71">
        <v>253587.00696055681</v>
      </c>
      <c r="O139" s="71">
        <v>297714676.38524711</v>
      </c>
      <c r="P139" s="70">
        <v>0</v>
      </c>
      <c r="Q139" s="70">
        <v>0</v>
      </c>
      <c r="R139" s="70">
        <v>0</v>
      </c>
      <c r="S139" s="70">
        <v>0</v>
      </c>
      <c r="T139" s="71">
        <v>0</v>
      </c>
      <c r="U139" s="71">
        <v>0</v>
      </c>
      <c r="V139" s="71">
        <v>0</v>
      </c>
      <c r="W139" s="71">
        <v>0</v>
      </c>
      <c r="X139" s="70">
        <v>0</v>
      </c>
      <c r="Y139" s="70">
        <v>0</v>
      </c>
      <c r="Z139" s="70">
        <v>0</v>
      </c>
      <c r="AA139" s="70">
        <v>0</v>
      </c>
      <c r="AB139" s="71">
        <v>0</v>
      </c>
      <c r="AC139" s="71">
        <v>0</v>
      </c>
      <c r="AD139" s="71">
        <v>0</v>
      </c>
      <c r="AE139" s="71">
        <v>0</v>
      </c>
      <c r="AF139" s="70">
        <v>0</v>
      </c>
      <c r="AG139" s="70">
        <v>0</v>
      </c>
      <c r="AH139" s="70">
        <v>0</v>
      </c>
      <c r="AI139" s="70">
        <v>0</v>
      </c>
      <c r="AJ139" s="72" t="s">
        <v>478</v>
      </c>
    </row>
    <row r="140" spans="1:36" customFormat="1" x14ac:dyDescent="0.25">
      <c r="A140" s="68">
        <v>134</v>
      </c>
      <c r="B140" s="69" t="s">
        <v>238</v>
      </c>
      <c r="C140" s="69" t="s">
        <v>936</v>
      </c>
      <c r="D140" s="69" t="s">
        <v>90</v>
      </c>
      <c r="E140" s="69" t="s">
        <v>556</v>
      </c>
      <c r="F140" s="69" t="s">
        <v>529</v>
      </c>
      <c r="G140" s="69" t="s">
        <v>237</v>
      </c>
      <c r="H140" s="70">
        <v>0</v>
      </c>
      <c r="I140" s="70">
        <v>0</v>
      </c>
      <c r="J140" s="70">
        <v>0</v>
      </c>
      <c r="K140" s="70">
        <v>0</v>
      </c>
      <c r="L140" s="71">
        <v>17593.194122196441</v>
      </c>
      <c r="M140" s="71">
        <v>14074.555297757153</v>
      </c>
      <c r="N140" s="71">
        <v>21111.832946635728</v>
      </c>
      <c r="O140" s="71">
        <v>2063469.8628085817</v>
      </c>
      <c r="P140" s="70">
        <v>0</v>
      </c>
      <c r="Q140" s="70">
        <v>0</v>
      </c>
      <c r="R140" s="70">
        <v>0</v>
      </c>
      <c r="S140" s="70">
        <v>0</v>
      </c>
      <c r="T140" s="71">
        <v>0</v>
      </c>
      <c r="U140" s="71">
        <v>0</v>
      </c>
      <c r="V140" s="71">
        <v>0</v>
      </c>
      <c r="W140" s="71">
        <v>0</v>
      </c>
      <c r="X140" s="70">
        <v>0</v>
      </c>
      <c r="Y140" s="70">
        <v>0</v>
      </c>
      <c r="Z140" s="70">
        <v>0</v>
      </c>
      <c r="AA140" s="70">
        <v>0</v>
      </c>
      <c r="AB140" s="71">
        <v>0</v>
      </c>
      <c r="AC140" s="71">
        <v>0</v>
      </c>
      <c r="AD140" s="71">
        <v>0</v>
      </c>
      <c r="AE140" s="71">
        <v>0</v>
      </c>
      <c r="AF140" s="70">
        <v>0</v>
      </c>
      <c r="AG140" s="70">
        <v>0</v>
      </c>
      <c r="AH140" s="70">
        <v>0</v>
      </c>
      <c r="AI140" s="70">
        <v>0</v>
      </c>
      <c r="AJ140" s="72" t="s">
        <v>478</v>
      </c>
    </row>
    <row r="141" spans="1:36" customFormat="1" x14ac:dyDescent="0.25">
      <c r="A141" s="68">
        <v>135</v>
      </c>
      <c r="B141" s="69" t="s">
        <v>238</v>
      </c>
      <c r="C141" s="69" t="s">
        <v>936</v>
      </c>
      <c r="D141" s="69" t="s">
        <v>557</v>
      </c>
      <c r="E141" s="69" t="s">
        <v>558</v>
      </c>
      <c r="F141" s="69" t="s">
        <v>529</v>
      </c>
      <c r="G141" s="69" t="s">
        <v>237</v>
      </c>
      <c r="H141" s="70">
        <v>0</v>
      </c>
      <c r="I141" s="70">
        <v>0</v>
      </c>
      <c r="J141" s="70">
        <v>0</v>
      </c>
      <c r="K141" s="70">
        <v>0</v>
      </c>
      <c r="L141" s="71">
        <v>376024.74864655838</v>
      </c>
      <c r="M141" s="71">
        <v>300819.79891724669</v>
      </c>
      <c r="N141" s="71">
        <v>451229.69837587007</v>
      </c>
      <c r="O141" s="71">
        <v>942630743.9647131</v>
      </c>
      <c r="P141" s="70">
        <v>0</v>
      </c>
      <c r="Q141" s="70">
        <v>0</v>
      </c>
      <c r="R141" s="70">
        <v>0</v>
      </c>
      <c r="S141" s="70">
        <v>0</v>
      </c>
      <c r="T141" s="71">
        <v>0</v>
      </c>
      <c r="U141" s="71">
        <v>0</v>
      </c>
      <c r="V141" s="71">
        <v>0</v>
      </c>
      <c r="W141" s="71">
        <v>0</v>
      </c>
      <c r="X141" s="70">
        <v>0</v>
      </c>
      <c r="Y141" s="70">
        <v>0</v>
      </c>
      <c r="Z141" s="70">
        <v>0</v>
      </c>
      <c r="AA141" s="70">
        <v>0</v>
      </c>
      <c r="AB141" s="71">
        <v>0</v>
      </c>
      <c r="AC141" s="71">
        <v>0</v>
      </c>
      <c r="AD141" s="71">
        <v>0</v>
      </c>
      <c r="AE141" s="71">
        <v>0</v>
      </c>
      <c r="AF141" s="70">
        <v>0</v>
      </c>
      <c r="AG141" s="70">
        <v>0</v>
      </c>
      <c r="AH141" s="70">
        <v>0</v>
      </c>
      <c r="AI141" s="70">
        <v>0</v>
      </c>
      <c r="AJ141" s="72" t="s">
        <v>478</v>
      </c>
    </row>
    <row r="142" spans="1:36" customFormat="1" x14ac:dyDescent="0.25">
      <c r="A142" s="68">
        <v>136</v>
      </c>
      <c r="B142" s="69" t="s">
        <v>238</v>
      </c>
      <c r="C142" s="69" t="s">
        <v>936</v>
      </c>
      <c r="D142" s="69" t="s">
        <v>559</v>
      </c>
      <c r="E142" s="69" t="s">
        <v>560</v>
      </c>
      <c r="F142" s="69" t="s">
        <v>529</v>
      </c>
      <c r="G142" s="69" t="s">
        <v>237</v>
      </c>
      <c r="H142" s="70">
        <v>0</v>
      </c>
      <c r="I142" s="70">
        <v>0</v>
      </c>
      <c r="J142" s="70">
        <v>0</v>
      </c>
      <c r="K142" s="70">
        <v>0</v>
      </c>
      <c r="L142" s="71">
        <v>6.2567672080433099E-7</v>
      </c>
      <c r="M142" s="71">
        <v>5.0054137664346475E-7</v>
      </c>
      <c r="N142" s="71">
        <v>7.5081206496519723E-7</v>
      </c>
      <c r="O142" s="71">
        <v>2.6098090597097286E-15</v>
      </c>
      <c r="P142" s="70">
        <v>0</v>
      </c>
      <c r="Q142" s="70">
        <v>0</v>
      </c>
      <c r="R142" s="70">
        <v>0</v>
      </c>
      <c r="S142" s="70">
        <v>0</v>
      </c>
      <c r="T142" s="71">
        <v>0</v>
      </c>
      <c r="U142" s="71">
        <v>0</v>
      </c>
      <c r="V142" s="71">
        <v>0</v>
      </c>
      <c r="W142" s="71">
        <v>0</v>
      </c>
      <c r="X142" s="70">
        <v>2.483333333333333E-6</v>
      </c>
      <c r="Y142" s="70">
        <v>1.9866666666666666E-6</v>
      </c>
      <c r="Z142" s="70">
        <v>2.9799999999999994E-6</v>
      </c>
      <c r="AA142" s="70">
        <v>4.111296296296289E-14</v>
      </c>
      <c r="AB142" s="71">
        <v>0</v>
      </c>
      <c r="AC142" s="71">
        <v>0</v>
      </c>
      <c r="AD142" s="71">
        <v>0</v>
      </c>
      <c r="AE142" s="71">
        <v>0</v>
      </c>
      <c r="AF142" s="70">
        <v>0</v>
      </c>
      <c r="AG142" s="70">
        <v>0</v>
      </c>
      <c r="AH142" s="70">
        <v>0</v>
      </c>
      <c r="AI142" s="70">
        <v>0</v>
      </c>
      <c r="AJ142" s="72" t="s">
        <v>478</v>
      </c>
    </row>
    <row r="143" spans="1:36" customFormat="1" x14ac:dyDescent="0.25">
      <c r="A143" s="68">
        <v>137</v>
      </c>
      <c r="B143" s="69" t="s">
        <v>238</v>
      </c>
      <c r="C143" s="69" t="s">
        <v>936</v>
      </c>
      <c r="D143" s="69" t="s">
        <v>561</v>
      </c>
      <c r="E143" s="69" t="s">
        <v>562</v>
      </c>
      <c r="F143" s="69" t="s">
        <v>529</v>
      </c>
      <c r="G143" s="69" t="s">
        <v>237</v>
      </c>
      <c r="H143" s="70">
        <v>0</v>
      </c>
      <c r="I143" s="70">
        <v>0</v>
      </c>
      <c r="J143" s="70">
        <v>0</v>
      </c>
      <c r="K143" s="70">
        <v>0</v>
      </c>
      <c r="L143" s="71">
        <v>3.2869296210363494E-4</v>
      </c>
      <c r="M143" s="71">
        <v>2.6295436968290796E-4</v>
      </c>
      <c r="N143" s="71">
        <v>3.9443155452436191E-4</v>
      </c>
      <c r="O143" s="71">
        <v>7.2026042224307948E-10</v>
      </c>
      <c r="P143" s="70">
        <v>1.1494252873563219E-4</v>
      </c>
      <c r="Q143" s="70">
        <v>9.195402298850576E-5</v>
      </c>
      <c r="R143" s="70">
        <v>1.3793103448275863E-4</v>
      </c>
      <c r="S143" s="70">
        <v>8.8078566080944322E-11</v>
      </c>
      <c r="T143" s="71">
        <v>1.1494252873563219E-4</v>
      </c>
      <c r="U143" s="71">
        <v>9.195402298850576E-5</v>
      </c>
      <c r="V143" s="71">
        <v>1.3793103448275863E-4</v>
      </c>
      <c r="W143" s="71">
        <v>8.8078566080944322E-11</v>
      </c>
      <c r="X143" s="70">
        <v>1.2171920249999988E-3</v>
      </c>
      <c r="Y143" s="70">
        <v>9.7375361999999899E-4</v>
      </c>
      <c r="Z143" s="70">
        <v>1.4606304299999986E-3</v>
      </c>
      <c r="AA143" s="70">
        <v>9.8770428381573256E-9</v>
      </c>
      <c r="AB143" s="71">
        <v>1.2302158273381294E-5</v>
      </c>
      <c r="AC143" s="71">
        <v>9.8417266187050354E-6</v>
      </c>
      <c r="AD143" s="71">
        <v>1.4762589928057552E-5</v>
      </c>
      <c r="AE143" s="71">
        <v>1.0089539878888261E-12</v>
      </c>
      <c r="AF143" s="70">
        <v>0</v>
      </c>
      <c r="AG143" s="70">
        <v>0</v>
      </c>
      <c r="AH143" s="70">
        <v>0</v>
      </c>
      <c r="AI143" s="70">
        <v>0</v>
      </c>
      <c r="AJ143" s="72" t="s">
        <v>478</v>
      </c>
    </row>
    <row r="144" spans="1:36" customFormat="1" x14ac:dyDescent="0.25">
      <c r="A144" s="68">
        <v>138</v>
      </c>
      <c r="B144" s="69" t="s">
        <v>238</v>
      </c>
      <c r="C144" s="69" t="s">
        <v>936</v>
      </c>
      <c r="D144" s="69" t="s">
        <v>114</v>
      </c>
      <c r="E144" s="69" t="s">
        <v>563</v>
      </c>
      <c r="F144" s="69" t="s">
        <v>529</v>
      </c>
      <c r="G144" s="69" t="s">
        <v>237</v>
      </c>
      <c r="H144" s="70">
        <v>0</v>
      </c>
      <c r="I144" s="70">
        <v>0</v>
      </c>
      <c r="J144" s="70">
        <v>0</v>
      </c>
      <c r="K144" s="70">
        <v>0</v>
      </c>
      <c r="L144" s="71">
        <v>7.5406032482598597E-6</v>
      </c>
      <c r="M144" s="71">
        <v>6.0324825986078876E-6</v>
      </c>
      <c r="N144" s="71">
        <v>9.048723897911831E-6</v>
      </c>
      <c r="O144" s="71">
        <v>3.7907131565111437E-13</v>
      </c>
      <c r="P144" s="70">
        <v>1.2183908045977013E-5</v>
      </c>
      <c r="Q144" s="70">
        <v>9.7471264367816107E-6</v>
      </c>
      <c r="R144" s="70">
        <v>1.4620689655172416E-5</v>
      </c>
      <c r="S144" s="70">
        <v>9.8965076848549059E-13</v>
      </c>
      <c r="T144" s="71">
        <v>1.2183908045977013E-5</v>
      </c>
      <c r="U144" s="71">
        <v>9.7471264367816107E-6</v>
      </c>
      <c r="V144" s="71">
        <v>1.4620689655172416E-5</v>
      </c>
      <c r="W144" s="71">
        <v>9.8965076848549059E-13</v>
      </c>
      <c r="X144" s="70">
        <v>4.8395554913999953E-4</v>
      </c>
      <c r="Y144" s="70">
        <v>3.871644393119996E-4</v>
      </c>
      <c r="Z144" s="70">
        <v>5.8074665896799946E-4</v>
      </c>
      <c r="AA144" s="70">
        <v>1.5614198236226553E-9</v>
      </c>
      <c r="AB144" s="71">
        <v>1.7122302158273384E-5</v>
      </c>
      <c r="AC144" s="71">
        <v>1.3697841726618708E-5</v>
      </c>
      <c r="AD144" s="71">
        <v>2.054676258992806E-5</v>
      </c>
      <c r="AE144" s="71">
        <v>1.9544882079947639E-12</v>
      </c>
      <c r="AF144" s="70">
        <v>0</v>
      </c>
      <c r="AG144" s="70">
        <v>0</v>
      </c>
      <c r="AH144" s="70">
        <v>0</v>
      </c>
      <c r="AI144" s="70">
        <v>0</v>
      </c>
      <c r="AJ144" s="72" t="s">
        <v>478</v>
      </c>
    </row>
    <row r="145" spans="1:36" customFormat="1" x14ac:dyDescent="0.25">
      <c r="A145" s="68">
        <v>139</v>
      </c>
      <c r="B145" s="69" t="s">
        <v>238</v>
      </c>
      <c r="C145" s="69" t="s">
        <v>936</v>
      </c>
      <c r="D145" s="69" t="s">
        <v>108</v>
      </c>
      <c r="E145" s="69" t="s">
        <v>564</v>
      </c>
      <c r="F145" s="69" t="s">
        <v>529</v>
      </c>
      <c r="G145" s="69" t="s">
        <v>237</v>
      </c>
      <c r="H145" s="70">
        <v>0</v>
      </c>
      <c r="I145" s="70">
        <v>0</v>
      </c>
      <c r="J145" s="70">
        <v>0</v>
      </c>
      <c r="K145" s="70">
        <v>0</v>
      </c>
      <c r="L145" s="71">
        <v>9.9767981438515058E-7</v>
      </c>
      <c r="M145" s="71">
        <v>7.9814385150812042E-7</v>
      </c>
      <c r="N145" s="71">
        <v>1.1972157772621807E-6</v>
      </c>
      <c r="O145" s="71">
        <v>6.635766746877253E-15</v>
      </c>
      <c r="P145" s="70">
        <v>1.4942528735632185E-6</v>
      </c>
      <c r="Q145" s="70">
        <v>1.1954022988505749E-6</v>
      </c>
      <c r="R145" s="70">
        <v>1.7931034482758622E-6</v>
      </c>
      <c r="S145" s="70">
        <v>1.4885277667679559E-14</v>
      </c>
      <c r="T145" s="71">
        <v>1.4942528735632185E-6</v>
      </c>
      <c r="U145" s="71">
        <v>1.1954022988505749E-6</v>
      </c>
      <c r="V145" s="71">
        <v>1.7931034482758622E-6</v>
      </c>
      <c r="W145" s="71">
        <v>1.4885277667679559E-14</v>
      </c>
      <c r="X145" s="70">
        <v>1.6500000000000001E-5</v>
      </c>
      <c r="Y145" s="70">
        <v>1.3200000000000001E-5</v>
      </c>
      <c r="Z145" s="70">
        <v>1.98E-5</v>
      </c>
      <c r="AA145" s="70">
        <v>1.8149999999999972E-12</v>
      </c>
      <c r="AB145" s="71">
        <v>6.6043165467625907E-8</v>
      </c>
      <c r="AC145" s="71">
        <v>5.2834532374100723E-8</v>
      </c>
      <c r="AD145" s="71">
        <v>7.9251798561151091E-8</v>
      </c>
      <c r="AE145" s="71">
        <v>2.9077998033228063E-17</v>
      </c>
      <c r="AF145" s="70">
        <v>0</v>
      </c>
      <c r="AG145" s="70">
        <v>0</v>
      </c>
      <c r="AH145" s="70">
        <v>0</v>
      </c>
      <c r="AI145" s="70">
        <v>0</v>
      </c>
      <c r="AJ145" s="72" t="s">
        <v>478</v>
      </c>
    </row>
    <row r="146" spans="1:36" customFormat="1" x14ac:dyDescent="0.25">
      <c r="A146" s="68">
        <v>140</v>
      </c>
      <c r="B146" s="69" t="s">
        <v>238</v>
      </c>
      <c r="C146" s="69" t="s">
        <v>936</v>
      </c>
      <c r="D146" s="69" t="s">
        <v>173</v>
      </c>
      <c r="E146" s="69" t="s">
        <v>565</v>
      </c>
      <c r="F146" s="69" t="s">
        <v>529</v>
      </c>
      <c r="G146" s="69" t="s">
        <v>237</v>
      </c>
      <c r="H146" s="70">
        <v>0</v>
      </c>
      <c r="I146" s="70">
        <v>0</v>
      </c>
      <c r="J146" s="70">
        <v>0</v>
      </c>
      <c r="K146" s="70">
        <v>0</v>
      </c>
      <c r="L146" s="71">
        <v>3.0007733952049497E-6</v>
      </c>
      <c r="M146" s="71">
        <v>2.4006187161639598E-6</v>
      </c>
      <c r="N146" s="71">
        <v>3.6009280742459395E-6</v>
      </c>
      <c r="O146" s="71">
        <v>6.0030939795799144E-14</v>
      </c>
      <c r="P146" s="70">
        <v>6.8965517241379317E-6</v>
      </c>
      <c r="Q146" s="70">
        <v>5.517241379310345E-6</v>
      </c>
      <c r="R146" s="70">
        <v>8.2758620689655183E-6</v>
      </c>
      <c r="S146" s="70">
        <v>3.1708283789139887E-13</v>
      </c>
      <c r="T146" s="71">
        <v>6.8965517241379317E-6</v>
      </c>
      <c r="U146" s="71">
        <v>5.517241379310345E-6</v>
      </c>
      <c r="V146" s="71">
        <v>8.2758620689655183E-6</v>
      </c>
      <c r="W146" s="71">
        <v>3.1708283789139887E-13</v>
      </c>
      <c r="X146" s="70">
        <v>4.1666666666666665E-5</v>
      </c>
      <c r="Y146" s="70">
        <v>3.3333333333333335E-5</v>
      </c>
      <c r="Z146" s="70">
        <v>4.9999999999999996E-5</v>
      </c>
      <c r="AA146" s="70">
        <v>1.157407407407404E-11</v>
      </c>
      <c r="AB146" s="71">
        <v>0</v>
      </c>
      <c r="AC146" s="71">
        <v>0</v>
      </c>
      <c r="AD146" s="71">
        <v>0</v>
      </c>
      <c r="AE146" s="71">
        <v>0</v>
      </c>
      <c r="AF146" s="70">
        <v>0</v>
      </c>
      <c r="AG146" s="70">
        <v>0</v>
      </c>
      <c r="AH146" s="70">
        <v>0</v>
      </c>
      <c r="AI146" s="70">
        <v>0</v>
      </c>
      <c r="AJ146" s="72" t="s">
        <v>478</v>
      </c>
    </row>
    <row r="147" spans="1:36" customFormat="1" x14ac:dyDescent="0.25">
      <c r="A147" s="68">
        <v>141</v>
      </c>
      <c r="B147" s="69" t="s">
        <v>238</v>
      </c>
      <c r="C147" s="69" t="s">
        <v>936</v>
      </c>
      <c r="D147" s="69" t="s">
        <v>31</v>
      </c>
      <c r="E147" s="69" t="s">
        <v>566</v>
      </c>
      <c r="F147" s="69" t="s">
        <v>529</v>
      </c>
      <c r="G147" s="69" t="s">
        <v>237</v>
      </c>
      <c r="H147" s="70">
        <v>0</v>
      </c>
      <c r="I147" s="70">
        <v>0</v>
      </c>
      <c r="J147" s="70">
        <v>0</v>
      </c>
      <c r="K147" s="70">
        <v>0</v>
      </c>
      <c r="L147" s="71">
        <v>9.9767981438515077E-10</v>
      </c>
      <c r="M147" s="71">
        <v>7.9814385150812064E-10</v>
      </c>
      <c r="N147" s="71">
        <v>1.197215777262181E-9</v>
      </c>
      <c r="O147" s="71">
        <v>6.6357667468772589E-21</v>
      </c>
      <c r="P147" s="70">
        <v>0</v>
      </c>
      <c r="Q147" s="70">
        <v>0</v>
      </c>
      <c r="R147" s="70">
        <v>0</v>
      </c>
      <c r="S147" s="70">
        <v>0</v>
      </c>
      <c r="T147" s="71">
        <v>0</v>
      </c>
      <c r="U147" s="71">
        <v>0</v>
      </c>
      <c r="V147" s="71">
        <v>0</v>
      </c>
      <c r="W147" s="71">
        <v>0</v>
      </c>
      <c r="X147" s="70">
        <v>6.6166666666666672E-9</v>
      </c>
      <c r="Y147" s="70">
        <v>5.2933333333333341E-9</v>
      </c>
      <c r="Z147" s="70">
        <v>7.9400000000000003E-9</v>
      </c>
      <c r="AA147" s="70">
        <v>2.918685185185184E-19</v>
      </c>
      <c r="AB147" s="71">
        <v>0</v>
      </c>
      <c r="AC147" s="71">
        <v>0</v>
      </c>
      <c r="AD147" s="71">
        <v>0</v>
      </c>
      <c r="AE147" s="71">
        <v>0</v>
      </c>
      <c r="AF147" s="70">
        <v>0</v>
      </c>
      <c r="AG147" s="70">
        <v>0</v>
      </c>
      <c r="AH147" s="70">
        <v>0</v>
      </c>
      <c r="AI147" s="70">
        <v>0</v>
      </c>
      <c r="AJ147" s="72" t="s">
        <v>478</v>
      </c>
    </row>
    <row r="148" spans="1:36" customFormat="1" x14ac:dyDescent="0.25">
      <c r="A148" s="68">
        <v>142</v>
      </c>
      <c r="B148" s="69" t="s">
        <v>238</v>
      </c>
      <c r="C148" s="69" t="s">
        <v>936</v>
      </c>
      <c r="D148" s="69" t="s">
        <v>32</v>
      </c>
      <c r="E148" s="69" t="s">
        <v>567</v>
      </c>
      <c r="F148" s="69" t="s">
        <v>529</v>
      </c>
      <c r="G148" s="69" t="s">
        <v>237</v>
      </c>
      <c r="H148" s="70">
        <v>0</v>
      </c>
      <c r="I148" s="70">
        <v>0</v>
      </c>
      <c r="J148" s="70">
        <v>0</v>
      </c>
      <c r="K148" s="70">
        <v>0</v>
      </c>
      <c r="L148" s="71">
        <v>3.9984532095900998E-9</v>
      </c>
      <c r="M148" s="71">
        <v>3.19876256767208E-9</v>
      </c>
      <c r="N148" s="71">
        <v>4.7981438515081195E-9</v>
      </c>
      <c r="O148" s="71">
        <v>1.0658418712854286E-19</v>
      </c>
      <c r="P148" s="70">
        <v>0</v>
      </c>
      <c r="Q148" s="70">
        <v>0</v>
      </c>
      <c r="R148" s="70">
        <v>0</v>
      </c>
      <c r="S148" s="70">
        <v>0</v>
      </c>
      <c r="T148" s="71">
        <v>0</v>
      </c>
      <c r="U148" s="71">
        <v>0</v>
      </c>
      <c r="V148" s="71">
        <v>0</v>
      </c>
      <c r="W148" s="71">
        <v>0</v>
      </c>
      <c r="X148" s="70">
        <v>6.6166666666666672E-9</v>
      </c>
      <c r="Y148" s="70">
        <v>5.2933333333333341E-9</v>
      </c>
      <c r="Z148" s="70">
        <v>7.9400000000000003E-9</v>
      </c>
      <c r="AA148" s="70">
        <v>2.918685185185184E-19</v>
      </c>
      <c r="AB148" s="71">
        <v>0</v>
      </c>
      <c r="AC148" s="71">
        <v>0</v>
      </c>
      <c r="AD148" s="71">
        <v>0</v>
      </c>
      <c r="AE148" s="71">
        <v>0</v>
      </c>
      <c r="AF148" s="70">
        <v>0</v>
      </c>
      <c r="AG148" s="70">
        <v>0</v>
      </c>
      <c r="AH148" s="70">
        <v>0</v>
      </c>
      <c r="AI148" s="70">
        <v>0</v>
      </c>
      <c r="AJ148" s="72" t="s">
        <v>478</v>
      </c>
    </row>
    <row r="149" spans="1:36" customFormat="1" x14ac:dyDescent="0.25">
      <c r="A149" s="68">
        <v>143</v>
      </c>
      <c r="B149" s="69" t="s">
        <v>238</v>
      </c>
      <c r="C149" s="69" t="s">
        <v>936</v>
      </c>
      <c r="D149" s="69" t="s">
        <v>105</v>
      </c>
      <c r="E149" s="69" t="s">
        <v>568</v>
      </c>
      <c r="F149" s="69" t="s">
        <v>529</v>
      </c>
      <c r="G149" s="69" t="s">
        <v>237</v>
      </c>
      <c r="H149" s="70">
        <v>0</v>
      </c>
      <c r="I149" s="70">
        <v>0</v>
      </c>
      <c r="J149" s="70">
        <v>0</v>
      </c>
      <c r="K149" s="70">
        <v>0</v>
      </c>
      <c r="L149" s="71">
        <v>2.5986078886310903E-5</v>
      </c>
      <c r="M149" s="71">
        <v>2.0788863109048721E-5</v>
      </c>
      <c r="N149" s="71">
        <v>3.1183294663573085E-5</v>
      </c>
      <c r="O149" s="71">
        <v>4.5018419725704963E-12</v>
      </c>
      <c r="P149" s="70">
        <v>6.8965517241379317E-6</v>
      </c>
      <c r="Q149" s="70">
        <v>5.517241379310345E-6</v>
      </c>
      <c r="R149" s="70">
        <v>8.2758620689655183E-6</v>
      </c>
      <c r="S149" s="70">
        <v>3.1708283789139887E-13</v>
      </c>
      <c r="T149" s="71">
        <v>6.8965517241379317E-6</v>
      </c>
      <c r="U149" s="71">
        <v>5.517241379310345E-6</v>
      </c>
      <c r="V149" s="71">
        <v>8.2758620689655183E-6</v>
      </c>
      <c r="W149" s="71">
        <v>3.1708283789139887E-13</v>
      </c>
      <c r="X149" s="70">
        <v>1.4916666666666667E-4</v>
      </c>
      <c r="Y149" s="70">
        <v>1.1933333333333334E-4</v>
      </c>
      <c r="Z149" s="70">
        <v>1.7900000000000001E-4</v>
      </c>
      <c r="AA149" s="70">
        <v>1.4833796296296216E-10</v>
      </c>
      <c r="AB149" s="71">
        <v>0</v>
      </c>
      <c r="AC149" s="71">
        <v>0</v>
      </c>
      <c r="AD149" s="71">
        <v>0</v>
      </c>
      <c r="AE149" s="71">
        <v>0</v>
      </c>
      <c r="AF149" s="70">
        <v>0</v>
      </c>
      <c r="AG149" s="70">
        <v>0</v>
      </c>
      <c r="AH149" s="70">
        <v>0</v>
      </c>
      <c r="AI149" s="70">
        <v>0</v>
      </c>
      <c r="AJ149" s="72" t="s">
        <v>478</v>
      </c>
    </row>
    <row r="150" spans="1:36" customFormat="1" x14ac:dyDescent="0.25">
      <c r="A150" s="68">
        <v>144</v>
      </c>
      <c r="B150" s="69" t="s">
        <v>238</v>
      </c>
      <c r="C150" s="69" t="s">
        <v>936</v>
      </c>
      <c r="D150" s="69" t="s">
        <v>569</v>
      </c>
      <c r="E150" s="69" t="s">
        <v>570</v>
      </c>
      <c r="F150" s="69" t="s">
        <v>529</v>
      </c>
      <c r="G150" s="69" t="s">
        <v>237</v>
      </c>
      <c r="H150" s="70">
        <v>0</v>
      </c>
      <c r="I150" s="70">
        <v>0</v>
      </c>
      <c r="J150" s="70">
        <v>0</v>
      </c>
      <c r="K150" s="70">
        <v>0</v>
      </c>
      <c r="L150" s="71">
        <v>3.0007733952049497E-6</v>
      </c>
      <c r="M150" s="71">
        <v>2.4006187161639598E-6</v>
      </c>
      <c r="N150" s="71">
        <v>3.6009280742459395E-6</v>
      </c>
      <c r="O150" s="71">
        <v>6.0030939795799144E-14</v>
      </c>
      <c r="P150" s="70">
        <v>0</v>
      </c>
      <c r="Q150" s="70">
        <v>0</v>
      </c>
      <c r="R150" s="70">
        <v>0</v>
      </c>
      <c r="S150" s="70">
        <v>0</v>
      </c>
      <c r="T150" s="71">
        <v>0</v>
      </c>
      <c r="U150" s="71">
        <v>0</v>
      </c>
      <c r="V150" s="71">
        <v>0</v>
      </c>
      <c r="W150" s="71">
        <v>0</v>
      </c>
      <c r="X150" s="70">
        <v>5.7833333333333327E-6</v>
      </c>
      <c r="Y150" s="70">
        <v>4.6266666666666659E-6</v>
      </c>
      <c r="Z150" s="70">
        <v>6.9399999999999996E-6</v>
      </c>
      <c r="AA150" s="70">
        <v>2.2297962962963024E-13</v>
      </c>
      <c r="AB150" s="71">
        <v>0</v>
      </c>
      <c r="AC150" s="71">
        <v>0</v>
      </c>
      <c r="AD150" s="71">
        <v>0</v>
      </c>
      <c r="AE150" s="71">
        <v>0</v>
      </c>
      <c r="AF150" s="70">
        <v>0</v>
      </c>
      <c r="AG150" s="70">
        <v>0</v>
      </c>
      <c r="AH150" s="70">
        <v>0</v>
      </c>
      <c r="AI150" s="70">
        <v>0</v>
      </c>
      <c r="AJ150" s="72" t="s">
        <v>478</v>
      </c>
    </row>
    <row r="151" spans="1:36" customFormat="1" x14ac:dyDescent="0.25">
      <c r="A151" s="68">
        <v>145</v>
      </c>
      <c r="B151" s="69" t="s">
        <v>238</v>
      </c>
      <c r="C151" s="69" t="s">
        <v>936</v>
      </c>
      <c r="D151" s="69" t="s">
        <v>86</v>
      </c>
      <c r="E151" s="69" t="s">
        <v>571</v>
      </c>
      <c r="F151" s="69" t="s">
        <v>529</v>
      </c>
      <c r="G151" s="69" t="s">
        <v>237</v>
      </c>
      <c r="H151" s="70">
        <v>0</v>
      </c>
      <c r="I151" s="70">
        <v>0</v>
      </c>
      <c r="J151" s="70">
        <v>0</v>
      </c>
      <c r="K151" s="70">
        <v>0</v>
      </c>
      <c r="L151" s="71">
        <v>0</v>
      </c>
      <c r="M151" s="71">
        <v>0</v>
      </c>
      <c r="N151" s="71">
        <v>0</v>
      </c>
      <c r="O151" s="71">
        <v>0</v>
      </c>
      <c r="P151" s="70">
        <v>7.3563218390804606E-7</v>
      </c>
      <c r="Q151" s="70">
        <v>5.8850574712643687E-7</v>
      </c>
      <c r="R151" s="70">
        <v>8.8275862068965525E-7</v>
      </c>
      <c r="S151" s="70">
        <v>3.607698066675469E-15</v>
      </c>
      <c r="T151" s="71">
        <v>7.3563218390804606E-7</v>
      </c>
      <c r="U151" s="71">
        <v>5.8850574712643687E-7</v>
      </c>
      <c r="V151" s="71">
        <v>8.8275862068965525E-7</v>
      </c>
      <c r="W151" s="71">
        <v>3.607698066675469E-15</v>
      </c>
      <c r="X151" s="70">
        <v>0</v>
      </c>
      <c r="Y151" s="70">
        <v>0</v>
      </c>
      <c r="Z151" s="70">
        <v>0</v>
      </c>
      <c r="AA151" s="70">
        <v>0</v>
      </c>
      <c r="AB151" s="71">
        <v>5.4100719424460428E-5</v>
      </c>
      <c r="AC151" s="71">
        <v>4.3280575539568341E-5</v>
      </c>
      <c r="AD151" s="71">
        <v>6.4920863309352522E-5</v>
      </c>
      <c r="AE151" s="71">
        <v>1.9512585614961192E-11</v>
      </c>
      <c r="AF151" s="70">
        <v>0</v>
      </c>
      <c r="AG151" s="70">
        <v>0</v>
      </c>
      <c r="AH151" s="70">
        <v>0</v>
      </c>
      <c r="AI151" s="70">
        <v>0</v>
      </c>
      <c r="AJ151" s="72" t="s">
        <v>478</v>
      </c>
    </row>
    <row r="152" spans="1:36" customFormat="1" x14ac:dyDescent="0.25">
      <c r="A152" s="68">
        <v>146</v>
      </c>
      <c r="B152" s="69" t="s">
        <v>238</v>
      </c>
      <c r="C152" s="69" t="s">
        <v>936</v>
      </c>
      <c r="D152" s="69" t="s">
        <v>351</v>
      </c>
      <c r="E152" s="69" t="s">
        <v>572</v>
      </c>
      <c r="F152" s="69" t="s">
        <v>529</v>
      </c>
      <c r="G152" s="69" t="s">
        <v>237</v>
      </c>
      <c r="H152" s="70">
        <v>0</v>
      </c>
      <c r="I152" s="70">
        <v>0</v>
      </c>
      <c r="J152" s="70">
        <v>0</v>
      </c>
      <c r="K152" s="70">
        <v>0</v>
      </c>
      <c r="L152" s="71">
        <v>0</v>
      </c>
      <c r="M152" s="71">
        <v>0</v>
      </c>
      <c r="N152" s="71">
        <v>0</v>
      </c>
      <c r="O152" s="71">
        <v>0</v>
      </c>
      <c r="P152" s="70">
        <v>2.6436781609195405E-4</v>
      </c>
      <c r="Q152" s="70">
        <v>2.1149425287356324E-4</v>
      </c>
      <c r="R152" s="70">
        <v>3.1724137931034486E-4</v>
      </c>
      <c r="S152" s="70">
        <v>4.6593561456819441E-10</v>
      </c>
      <c r="T152" s="71">
        <v>2.6436781609195405E-4</v>
      </c>
      <c r="U152" s="71">
        <v>2.1149425287356324E-4</v>
      </c>
      <c r="V152" s="71">
        <v>3.1724137931034486E-4</v>
      </c>
      <c r="W152" s="71">
        <v>4.6593561456819441E-10</v>
      </c>
      <c r="X152" s="70">
        <v>0</v>
      </c>
      <c r="Y152" s="70">
        <v>0</v>
      </c>
      <c r="Z152" s="70">
        <v>0</v>
      </c>
      <c r="AA152" s="70">
        <v>0</v>
      </c>
      <c r="AB152" s="71">
        <v>0</v>
      </c>
      <c r="AC152" s="71">
        <v>0</v>
      </c>
      <c r="AD152" s="71">
        <v>0</v>
      </c>
      <c r="AE152" s="71">
        <v>0</v>
      </c>
      <c r="AF152" s="70">
        <v>0</v>
      </c>
      <c r="AG152" s="70">
        <v>0</v>
      </c>
      <c r="AH152" s="70">
        <v>0</v>
      </c>
      <c r="AI152" s="70">
        <v>0</v>
      </c>
      <c r="AJ152" s="72" t="s">
        <v>478</v>
      </c>
    </row>
    <row r="153" spans="1:36" customFormat="1" x14ac:dyDescent="0.25">
      <c r="A153" s="68">
        <v>147</v>
      </c>
      <c r="B153" s="69" t="s">
        <v>238</v>
      </c>
      <c r="C153" s="69" t="s">
        <v>936</v>
      </c>
      <c r="D153" s="69" t="s">
        <v>107</v>
      </c>
      <c r="E153" s="69" t="s">
        <v>573</v>
      </c>
      <c r="F153" s="69" t="s">
        <v>529</v>
      </c>
      <c r="G153" s="69" t="s">
        <v>237</v>
      </c>
      <c r="H153" s="70">
        <v>0</v>
      </c>
      <c r="I153" s="70">
        <v>0</v>
      </c>
      <c r="J153" s="70">
        <v>0</v>
      </c>
      <c r="K153" s="70">
        <v>0</v>
      </c>
      <c r="L153" s="71">
        <v>0</v>
      </c>
      <c r="M153" s="71">
        <v>0</v>
      </c>
      <c r="N153" s="71">
        <v>0</v>
      </c>
      <c r="O153" s="71">
        <v>0</v>
      </c>
      <c r="P153" s="70">
        <v>0</v>
      </c>
      <c r="Q153" s="70">
        <v>0</v>
      </c>
      <c r="R153" s="70">
        <v>0</v>
      </c>
      <c r="S153" s="70">
        <v>0</v>
      </c>
      <c r="T153" s="71">
        <v>0</v>
      </c>
      <c r="U153" s="71">
        <v>0</v>
      </c>
      <c r="V153" s="71">
        <v>0</v>
      </c>
      <c r="W153" s="71">
        <v>0</v>
      </c>
      <c r="X153" s="70">
        <v>0</v>
      </c>
      <c r="Y153" s="70">
        <v>0</v>
      </c>
      <c r="Z153" s="70">
        <v>0</v>
      </c>
      <c r="AA153" s="70">
        <v>0</v>
      </c>
      <c r="AB153" s="71">
        <v>1.7999999999999999E-14</v>
      </c>
      <c r="AC153" s="71">
        <v>1.44E-14</v>
      </c>
      <c r="AD153" s="71">
        <v>2.1599999999999998E-14</v>
      </c>
      <c r="AE153" s="71">
        <v>2.1600000000000008E-30</v>
      </c>
      <c r="AF153" s="70">
        <v>0</v>
      </c>
      <c r="AG153" s="70">
        <v>0</v>
      </c>
      <c r="AH153" s="70">
        <v>0</v>
      </c>
      <c r="AI153" s="70">
        <v>0</v>
      </c>
      <c r="AJ153" s="72" t="s">
        <v>478</v>
      </c>
    </row>
    <row r="154" spans="1:36" customFormat="1" x14ac:dyDescent="0.25">
      <c r="A154" s="68">
        <v>148</v>
      </c>
      <c r="B154" s="69" t="s">
        <v>238</v>
      </c>
      <c r="C154" s="69" t="s">
        <v>574</v>
      </c>
      <c r="D154" s="69" t="s">
        <v>575</v>
      </c>
      <c r="E154" s="69" t="s">
        <v>925</v>
      </c>
      <c r="F154" s="69" t="s">
        <v>529</v>
      </c>
      <c r="G154" s="69" t="s">
        <v>237</v>
      </c>
      <c r="H154" s="70">
        <v>465000000</v>
      </c>
      <c r="I154" s="70">
        <v>372000000</v>
      </c>
      <c r="J154" s="70">
        <v>558000000</v>
      </c>
      <c r="K154" s="70">
        <v>1441500000000000</v>
      </c>
      <c r="L154" s="71">
        <v>0</v>
      </c>
      <c r="M154" s="71">
        <v>0</v>
      </c>
      <c r="N154" s="71">
        <v>0</v>
      </c>
      <c r="O154" s="71">
        <v>0</v>
      </c>
      <c r="P154" s="70">
        <v>465000000</v>
      </c>
      <c r="Q154" s="70">
        <v>372000000</v>
      </c>
      <c r="R154" s="70">
        <v>558000000</v>
      </c>
      <c r="S154" s="70">
        <v>1441500000000000</v>
      </c>
      <c r="T154" s="71">
        <v>465000000</v>
      </c>
      <c r="U154" s="71">
        <v>372000000</v>
      </c>
      <c r="V154" s="71">
        <v>558000000</v>
      </c>
      <c r="W154" s="71">
        <v>1441500000000000</v>
      </c>
      <c r="X154" s="70">
        <v>387500000</v>
      </c>
      <c r="Y154" s="70">
        <v>0</v>
      </c>
      <c r="Z154" s="70">
        <v>0</v>
      </c>
      <c r="AA154" s="70">
        <v>8342013888888888</v>
      </c>
      <c r="AB154" s="71">
        <v>0</v>
      </c>
      <c r="AC154" s="71">
        <v>0</v>
      </c>
      <c r="AD154" s="71">
        <v>0</v>
      </c>
      <c r="AE154" s="71">
        <v>0</v>
      </c>
      <c r="AF154" s="70">
        <v>0</v>
      </c>
      <c r="AG154" s="70">
        <v>0</v>
      </c>
      <c r="AH154" s="70">
        <v>0</v>
      </c>
      <c r="AI154" s="70">
        <v>0</v>
      </c>
      <c r="AJ154" s="72" t="s">
        <v>478</v>
      </c>
    </row>
    <row r="155" spans="1:36" customFormat="1" x14ac:dyDescent="0.25">
      <c r="A155" s="68">
        <v>149</v>
      </c>
      <c r="B155" s="69" t="s">
        <v>238</v>
      </c>
      <c r="C155" s="69" t="s">
        <v>574</v>
      </c>
      <c r="D155" s="69" t="s">
        <v>576</v>
      </c>
      <c r="E155" s="69" t="s">
        <v>577</v>
      </c>
      <c r="F155" s="69" t="s">
        <v>532</v>
      </c>
      <c r="G155" s="69" t="s">
        <v>237</v>
      </c>
      <c r="H155" s="70">
        <v>126720.00000000001</v>
      </c>
      <c r="I155" s="70">
        <v>101376.00000000001</v>
      </c>
      <c r="J155" s="70">
        <v>152064.00000000003</v>
      </c>
      <c r="K155" s="70">
        <v>107053055.99999978</v>
      </c>
      <c r="L155" s="71">
        <v>0</v>
      </c>
      <c r="M155" s="71">
        <v>0</v>
      </c>
      <c r="N155" s="71">
        <v>0</v>
      </c>
      <c r="O155" s="71">
        <v>0</v>
      </c>
      <c r="P155" s="70">
        <v>126720.00000000001</v>
      </c>
      <c r="Q155" s="70">
        <v>101376.00000000001</v>
      </c>
      <c r="R155" s="70">
        <v>152064.00000000003</v>
      </c>
      <c r="S155" s="70">
        <v>107053055.99999978</v>
      </c>
      <c r="T155" s="71">
        <v>126720.00000000001</v>
      </c>
      <c r="U155" s="71">
        <v>101376.00000000001</v>
      </c>
      <c r="V155" s="71">
        <v>152064.00000000003</v>
      </c>
      <c r="W155" s="71">
        <v>107053055.99999978</v>
      </c>
      <c r="X155" s="70">
        <v>126720.00000000001</v>
      </c>
      <c r="Y155" s="70">
        <v>0</v>
      </c>
      <c r="Z155" s="70">
        <v>0</v>
      </c>
      <c r="AA155" s="70">
        <v>892108800.00000012</v>
      </c>
      <c r="AB155" s="71">
        <v>0</v>
      </c>
      <c r="AC155" s="71">
        <v>0</v>
      </c>
      <c r="AD155" s="71">
        <v>0</v>
      </c>
      <c r="AE155" s="71">
        <v>0</v>
      </c>
      <c r="AF155" s="70">
        <v>0</v>
      </c>
      <c r="AG155" s="70">
        <v>0</v>
      </c>
      <c r="AH155" s="70">
        <v>0</v>
      </c>
      <c r="AI155" s="70">
        <v>0</v>
      </c>
      <c r="AJ155" s="72" t="s">
        <v>478</v>
      </c>
    </row>
    <row r="156" spans="1:36" customFormat="1" x14ac:dyDescent="0.25">
      <c r="A156" s="68">
        <v>150</v>
      </c>
      <c r="B156" s="69" t="s">
        <v>238</v>
      </c>
      <c r="C156" s="69" t="s">
        <v>574</v>
      </c>
      <c r="D156" s="69" t="s">
        <v>519</v>
      </c>
      <c r="E156" s="69" t="s">
        <v>520</v>
      </c>
      <c r="F156" s="69" t="s">
        <v>518</v>
      </c>
      <c r="G156" s="69" t="s">
        <v>237</v>
      </c>
      <c r="H156" s="70">
        <v>15.724137931034484</v>
      </c>
      <c r="I156" s="70">
        <v>14.731034482758623</v>
      </c>
      <c r="J156" s="70">
        <v>16.551724137931036</v>
      </c>
      <c r="K156" s="70">
        <v>0.13850178359096629</v>
      </c>
      <c r="L156" s="71">
        <v>0</v>
      </c>
      <c r="M156" s="71">
        <v>0</v>
      </c>
      <c r="N156" s="71">
        <v>0</v>
      </c>
      <c r="O156" s="71">
        <v>0</v>
      </c>
      <c r="P156" s="70">
        <v>15.724137931034484</v>
      </c>
      <c r="Q156" s="70">
        <v>14.731034482758623</v>
      </c>
      <c r="R156" s="70">
        <v>16.551724137931036</v>
      </c>
      <c r="S156" s="70">
        <v>0.13850178359096629</v>
      </c>
      <c r="T156" s="71">
        <v>15.724137931034484</v>
      </c>
      <c r="U156" s="71">
        <v>14.731034482758623</v>
      </c>
      <c r="V156" s="71">
        <v>16.551724137931036</v>
      </c>
      <c r="W156" s="71">
        <v>0.13850178359096629</v>
      </c>
      <c r="X156" s="70">
        <v>15.724137931034484</v>
      </c>
      <c r="Y156" s="70">
        <v>14.731034482758623</v>
      </c>
      <c r="Z156" s="70">
        <v>16.551724137931036</v>
      </c>
      <c r="AA156" s="70">
        <v>0.13850178359096629</v>
      </c>
      <c r="AB156" s="71">
        <v>0</v>
      </c>
      <c r="AC156" s="71">
        <v>0</v>
      </c>
      <c r="AD156" s="71">
        <v>0</v>
      </c>
      <c r="AE156" s="71">
        <v>0</v>
      </c>
      <c r="AF156" s="70">
        <v>0</v>
      </c>
      <c r="AG156" s="70">
        <v>0</v>
      </c>
      <c r="AH156" s="70">
        <v>0</v>
      </c>
      <c r="AI156" s="70">
        <v>0</v>
      </c>
      <c r="AJ156" s="72" t="s">
        <v>933</v>
      </c>
    </row>
    <row r="157" spans="1:36" customFormat="1" x14ac:dyDescent="0.25">
      <c r="A157" s="68">
        <v>151</v>
      </c>
      <c r="B157" s="69" t="s">
        <v>238</v>
      </c>
      <c r="C157" s="69" t="s">
        <v>574</v>
      </c>
      <c r="D157" s="69" t="s">
        <v>578</v>
      </c>
      <c r="E157" s="69" t="s">
        <v>562</v>
      </c>
      <c r="F157" s="69" t="s">
        <v>529</v>
      </c>
      <c r="G157" s="69" t="s">
        <v>237</v>
      </c>
      <c r="H157" s="70">
        <v>1.1494252873563219E-4</v>
      </c>
      <c r="I157" s="70">
        <v>9.195402298850576E-5</v>
      </c>
      <c r="J157" s="70">
        <v>1.3793103448275863E-4</v>
      </c>
      <c r="K157" s="70">
        <v>8.8078566080944322E-11</v>
      </c>
      <c r="L157" s="71">
        <v>0</v>
      </c>
      <c r="M157" s="71">
        <v>0</v>
      </c>
      <c r="N157" s="71">
        <v>0</v>
      </c>
      <c r="O157" s="71">
        <v>0</v>
      </c>
      <c r="P157" s="70">
        <v>1.1494252873563219E-4</v>
      </c>
      <c r="Q157" s="70">
        <v>9.195402298850576E-5</v>
      </c>
      <c r="R157" s="70">
        <v>1.3793103448275863E-4</v>
      </c>
      <c r="S157" s="70">
        <v>8.8078566080944322E-11</v>
      </c>
      <c r="T157" s="71">
        <v>1.1494252873563219E-4</v>
      </c>
      <c r="U157" s="71">
        <v>9.195402298850576E-5</v>
      </c>
      <c r="V157" s="71">
        <v>1.3793103448275863E-4</v>
      </c>
      <c r="W157" s="71">
        <v>8.8078566080944322E-11</v>
      </c>
      <c r="X157" s="70">
        <v>1.1494252873563219E-4</v>
      </c>
      <c r="Y157" s="70">
        <v>0</v>
      </c>
      <c r="Z157" s="70">
        <v>0</v>
      </c>
      <c r="AA157" s="70">
        <v>7.3398805067453504E-10</v>
      </c>
      <c r="AB157" s="71">
        <v>0</v>
      </c>
      <c r="AC157" s="71">
        <v>0</v>
      </c>
      <c r="AD157" s="71">
        <v>0</v>
      </c>
      <c r="AE157" s="71">
        <v>0</v>
      </c>
      <c r="AF157" s="70">
        <v>0</v>
      </c>
      <c r="AG157" s="70">
        <v>0</v>
      </c>
      <c r="AH157" s="70">
        <v>0</v>
      </c>
      <c r="AI157" s="70">
        <v>0</v>
      </c>
      <c r="AJ157" s="72" t="s">
        <v>478</v>
      </c>
    </row>
    <row r="158" spans="1:36" customFormat="1" x14ac:dyDescent="0.25">
      <c r="A158" s="68">
        <v>152</v>
      </c>
      <c r="B158" s="69" t="s">
        <v>238</v>
      </c>
      <c r="C158" s="69" t="s">
        <v>574</v>
      </c>
      <c r="D158" s="69" t="s">
        <v>579</v>
      </c>
      <c r="E158" s="69" t="s">
        <v>563</v>
      </c>
      <c r="F158" s="69" t="s">
        <v>529</v>
      </c>
      <c r="G158" s="69" t="s">
        <v>237</v>
      </c>
      <c r="H158" s="70">
        <v>1.2183908045977013E-5</v>
      </c>
      <c r="I158" s="70">
        <v>9.7471264367816107E-6</v>
      </c>
      <c r="J158" s="70">
        <v>1.4620689655172416E-5</v>
      </c>
      <c r="K158" s="70">
        <v>9.8965076848549059E-13</v>
      </c>
      <c r="L158" s="71">
        <v>0</v>
      </c>
      <c r="M158" s="71">
        <v>0</v>
      </c>
      <c r="N158" s="71">
        <v>0</v>
      </c>
      <c r="O158" s="71">
        <v>0</v>
      </c>
      <c r="P158" s="70">
        <v>1.2183908045977013E-5</v>
      </c>
      <c r="Q158" s="70">
        <v>9.7471264367816107E-6</v>
      </c>
      <c r="R158" s="70">
        <v>1.4620689655172416E-5</v>
      </c>
      <c r="S158" s="70">
        <v>9.8965076848549059E-13</v>
      </c>
      <c r="T158" s="71">
        <v>1.2183908045977013E-5</v>
      </c>
      <c r="U158" s="71">
        <v>9.7471264367816107E-6</v>
      </c>
      <c r="V158" s="71">
        <v>1.4620689655172416E-5</v>
      </c>
      <c r="W158" s="71">
        <v>9.8965076848549059E-13</v>
      </c>
      <c r="X158" s="70">
        <v>1.2183908045977013E-5</v>
      </c>
      <c r="Y158" s="70">
        <v>0</v>
      </c>
      <c r="Z158" s="70">
        <v>0</v>
      </c>
      <c r="AA158" s="70">
        <v>8.2470897373790777E-12</v>
      </c>
      <c r="AB158" s="71">
        <v>0</v>
      </c>
      <c r="AC158" s="71">
        <v>0</v>
      </c>
      <c r="AD158" s="71">
        <v>0</v>
      </c>
      <c r="AE158" s="71">
        <v>0</v>
      </c>
      <c r="AF158" s="70">
        <v>0</v>
      </c>
      <c r="AG158" s="70">
        <v>0</v>
      </c>
      <c r="AH158" s="70">
        <v>0</v>
      </c>
      <c r="AI158" s="70">
        <v>0</v>
      </c>
      <c r="AJ158" s="72" t="s">
        <v>478</v>
      </c>
    </row>
    <row r="159" spans="1:36" customFormat="1" x14ac:dyDescent="0.25">
      <c r="A159" s="68">
        <v>153</v>
      </c>
      <c r="B159" s="69" t="s">
        <v>238</v>
      </c>
      <c r="C159" s="69" t="s">
        <v>242</v>
      </c>
      <c r="D159" s="69" t="s">
        <v>580</v>
      </c>
      <c r="E159" s="69" t="s">
        <v>924</v>
      </c>
      <c r="F159" s="69" t="s">
        <v>581</v>
      </c>
      <c r="G159" s="69" t="s">
        <v>237</v>
      </c>
      <c r="H159" s="70">
        <v>72000000</v>
      </c>
      <c r="I159" s="70">
        <v>57600000</v>
      </c>
      <c r="J159" s="70">
        <v>86400000</v>
      </c>
      <c r="K159" s="70">
        <v>34560000000000</v>
      </c>
      <c r="L159" s="71">
        <v>0</v>
      </c>
      <c r="M159" s="71">
        <v>0</v>
      </c>
      <c r="N159" s="71">
        <v>0</v>
      </c>
      <c r="O159" s="71">
        <v>0</v>
      </c>
      <c r="P159" s="70">
        <v>72000000</v>
      </c>
      <c r="Q159" s="70">
        <v>57600000</v>
      </c>
      <c r="R159" s="70">
        <v>86400000</v>
      </c>
      <c r="S159" s="70">
        <v>34560000000000</v>
      </c>
      <c r="T159" s="71">
        <v>72000000</v>
      </c>
      <c r="U159" s="71">
        <v>57600000</v>
      </c>
      <c r="V159" s="71">
        <v>86400000</v>
      </c>
      <c r="W159" s="71">
        <v>34560000000000</v>
      </c>
      <c r="X159" s="70">
        <v>0</v>
      </c>
      <c r="Y159" s="70">
        <v>0</v>
      </c>
      <c r="Z159" s="70">
        <v>0</v>
      </c>
      <c r="AA159" s="70">
        <v>0</v>
      </c>
      <c r="AB159" s="71">
        <v>72000000</v>
      </c>
      <c r="AC159" s="71">
        <v>0</v>
      </c>
      <c r="AD159" s="71">
        <v>0</v>
      </c>
      <c r="AE159" s="71">
        <v>288000000000000</v>
      </c>
      <c r="AF159" s="70">
        <v>0</v>
      </c>
      <c r="AG159" s="70">
        <v>0</v>
      </c>
      <c r="AH159" s="70">
        <v>0</v>
      </c>
      <c r="AI159" s="70">
        <v>0</v>
      </c>
      <c r="AJ159" s="72" t="s">
        <v>478</v>
      </c>
    </row>
    <row r="160" spans="1:36" customFormat="1" x14ac:dyDescent="0.25">
      <c r="A160" s="68">
        <v>154</v>
      </c>
      <c r="B160" s="69" t="s">
        <v>238</v>
      </c>
      <c r="C160" s="69" t="s">
        <v>242</v>
      </c>
      <c r="D160" s="69" t="s">
        <v>585</v>
      </c>
      <c r="E160" s="69" t="s">
        <v>896</v>
      </c>
      <c r="F160" s="69" t="s">
        <v>532</v>
      </c>
      <c r="G160" s="69" t="s">
        <v>237</v>
      </c>
      <c r="H160" s="70">
        <v>528</v>
      </c>
      <c r="I160" s="70">
        <v>422.4</v>
      </c>
      <c r="J160" s="70">
        <v>633.6</v>
      </c>
      <c r="K160" s="70">
        <v>1858.5600000000009</v>
      </c>
      <c r="L160" s="71">
        <v>0</v>
      </c>
      <c r="M160" s="71">
        <v>0</v>
      </c>
      <c r="N160" s="71">
        <v>0</v>
      </c>
      <c r="O160" s="71">
        <v>0</v>
      </c>
      <c r="P160" s="70">
        <v>528</v>
      </c>
      <c r="Q160" s="70">
        <v>422.4</v>
      </c>
      <c r="R160" s="70">
        <v>633.6</v>
      </c>
      <c r="S160" s="70">
        <v>1858.5600000000009</v>
      </c>
      <c r="T160" s="71">
        <v>528</v>
      </c>
      <c r="U160" s="71">
        <v>422.4</v>
      </c>
      <c r="V160" s="71">
        <v>633.6</v>
      </c>
      <c r="W160" s="71">
        <v>1858.5600000000009</v>
      </c>
      <c r="X160" s="70">
        <v>0</v>
      </c>
      <c r="Y160" s="70">
        <v>0</v>
      </c>
      <c r="Z160" s="70">
        <v>0</v>
      </c>
      <c r="AA160" s="70">
        <v>0</v>
      </c>
      <c r="AB160" s="71">
        <v>528</v>
      </c>
      <c r="AC160" s="71">
        <v>422.4</v>
      </c>
      <c r="AD160" s="71">
        <v>633.6</v>
      </c>
      <c r="AE160" s="71">
        <v>1858.5600000000009</v>
      </c>
      <c r="AF160" s="70">
        <v>0</v>
      </c>
      <c r="AG160" s="70">
        <v>0</v>
      </c>
      <c r="AH160" s="70">
        <v>0</v>
      </c>
      <c r="AI160" s="70">
        <v>0</v>
      </c>
      <c r="AJ160" s="72" t="s">
        <v>478</v>
      </c>
    </row>
    <row r="161" spans="1:36" customFormat="1" x14ac:dyDescent="0.25">
      <c r="A161" s="68">
        <v>155</v>
      </c>
      <c r="B161" s="69" t="s">
        <v>238</v>
      </c>
      <c r="C161" s="69" t="s">
        <v>242</v>
      </c>
      <c r="D161" s="69" t="s">
        <v>521</v>
      </c>
      <c r="E161" s="69" t="s">
        <v>522</v>
      </c>
      <c r="F161" s="69" t="s">
        <v>523</v>
      </c>
      <c r="G161" s="69" t="s">
        <v>237</v>
      </c>
      <c r="H161" s="70">
        <v>30</v>
      </c>
      <c r="I161" s="70">
        <v>30</v>
      </c>
      <c r="J161" s="70">
        <v>40</v>
      </c>
      <c r="K161" s="70">
        <v>5.5555555555555554</v>
      </c>
      <c r="L161" s="71">
        <v>0</v>
      </c>
      <c r="M161" s="71">
        <v>0</v>
      </c>
      <c r="N161" s="71">
        <v>0</v>
      </c>
      <c r="O161" s="71">
        <v>0</v>
      </c>
      <c r="P161" s="70">
        <v>30</v>
      </c>
      <c r="Q161" s="70">
        <v>30</v>
      </c>
      <c r="R161" s="70">
        <v>40</v>
      </c>
      <c r="S161" s="70">
        <v>5.5555555555555554</v>
      </c>
      <c r="T161" s="71">
        <v>30</v>
      </c>
      <c r="U161" s="71">
        <v>30</v>
      </c>
      <c r="V161" s="71">
        <v>40</v>
      </c>
      <c r="W161" s="71">
        <v>5.5555555555555554</v>
      </c>
      <c r="X161" s="70">
        <v>30</v>
      </c>
      <c r="Y161" s="70">
        <v>30</v>
      </c>
      <c r="Z161" s="70">
        <v>40</v>
      </c>
      <c r="AA161" s="70">
        <v>5.5555555555555554</v>
      </c>
      <c r="AB161" s="71">
        <v>30</v>
      </c>
      <c r="AC161" s="71">
        <v>30</v>
      </c>
      <c r="AD161" s="71">
        <v>40</v>
      </c>
      <c r="AE161" s="71">
        <v>5.5555555555555554</v>
      </c>
      <c r="AF161" s="70">
        <v>0</v>
      </c>
      <c r="AG161" s="70">
        <v>0</v>
      </c>
      <c r="AH161" s="70">
        <v>0</v>
      </c>
      <c r="AI161" s="70">
        <v>0</v>
      </c>
      <c r="AJ161" s="72" t="s">
        <v>1040</v>
      </c>
    </row>
    <row r="162" spans="1:36" customFormat="1" x14ac:dyDescent="0.25">
      <c r="A162" s="68">
        <v>156</v>
      </c>
      <c r="B162" s="69" t="s">
        <v>238</v>
      </c>
      <c r="C162" s="69" t="s">
        <v>242</v>
      </c>
      <c r="D162" s="69" t="s">
        <v>243</v>
      </c>
      <c r="E162" s="69" t="s">
        <v>244</v>
      </c>
      <c r="F162" s="69" t="s">
        <v>341</v>
      </c>
      <c r="G162" s="69" t="s">
        <v>237</v>
      </c>
      <c r="H162" s="70">
        <v>70</v>
      </c>
      <c r="I162" s="70">
        <v>50</v>
      </c>
      <c r="J162" s="70">
        <v>90</v>
      </c>
      <c r="K162" s="70">
        <v>66.666666666666657</v>
      </c>
      <c r="L162" s="71">
        <v>0</v>
      </c>
      <c r="M162" s="71">
        <v>0</v>
      </c>
      <c r="N162" s="71">
        <v>0</v>
      </c>
      <c r="O162" s="71">
        <v>0</v>
      </c>
      <c r="P162" s="70">
        <v>70</v>
      </c>
      <c r="Q162" s="70">
        <v>50</v>
      </c>
      <c r="R162" s="70">
        <v>90</v>
      </c>
      <c r="S162" s="70">
        <v>66.666666666666657</v>
      </c>
      <c r="T162" s="71">
        <v>70</v>
      </c>
      <c r="U162" s="71">
        <v>50</v>
      </c>
      <c r="V162" s="71">
        <v>90</v>
      </c>
      <c r="W162" s="71">
        <v>66.666666666666657</v>
      </c>
      <c r="X162" s="70">
        <v>0</v>
      </c>
      <c r="Y162" s="70">
        <v>0</v>
      </c>
      <c r="Z162" s="70">
        <v>0</v>
      </c>
      <c r="AA162" s="70">
        <v>0</v>
      </c>
      <c r="AB162" s="71">
        <v>70</v>
      </c>
      <c r="AC162" s="71">
        <v>50</v>
      </c>
      <c r="AD162" s="71">
        <v>90</v>
      </c>
      <c r="AE162" s="71">
        <v>66.666666666666657</v>
      </c>
      <c r="AF162" s="70">
        <v>0</v>
      </c>
      <c r="AG162" s="70">
        <v>0</v>
      </c>
      <c r="AH162" s="70">
        <v>0</v>
      </c>
      <c r="AI162" s="70">
        <v>0</v>
      </c>
      <c r="AJ162" s="72" t="s">
        <v>964</v>
      </c>
    </row>
    <row r="163" spans="1:36" customFormat="1" x14ac:dyDescent="0.25">
      <c r="A163" s="68">
        <v>157</v>
      </c>
      <c r="B163" s="69" t="s">
        <v>238</v>
      </c>
      <c r="C163" s="69" t="s">
        <v>242</v>
      </c>
      <c r="D163" s="69" t="s">
        <v>582</v>
      </c>
      <c r="E163" s="69" t="s">
        <v>583</v>
      </c>
      <c r="F163" s="69" t="s">
        <v>584</v>
      </c>
      <c r="G163" s="69" t="s">
        <v>237</v>
      </c>
      <c r="H163" s="70">
        <v>2</v>
      </c>
      <c r="I163" s="70">
        <v>0</v>
      </c>
      <c r="J163" s="70">
        <v>3</v>
      </c>
      <c r="K163" s="70">
        <v>0.38888888888888884</v>
      </c>
      <c r="L163" s="71">
        <v>0</v>
      </c>
      <c r="M163" s="71">
        <v>0</v>
      </c>
      <c r="N163" s="71">
        <v>0</v>
      </c>
      <c r="O163" s="71">
        <v>0</v>
      </c>
      <c r="P163" s="70">
        <v>2</v>
      </c>
      <c r="Q163" s="70">
        <v>0</v>
      </c>
      <c r="R163" s="70">
        <v>3</v>
      </c>
      <c r="S163" s="70">
        <v>0.38888888888888884</v>
      </c>
      <c r="T163" s="71">
        <v>2</v>
      </c>
      <c r="U163" s="71">
        <v>0</v>
      </c>
      <c r="V163" s="71">
        <v>3</v>
      </c>
      <c r="W163" s="71">
        <v>0.38888888888888884</v>
      </c>
      <c r="X163" s="70">
        <v>0</v>
      </c>
      <c r="Y163" s="70">
        <v>0</v>
      </c>
      <c r="Z163" s="70">
        <v>0</v>
      </c>
      <c r="AA163" s="70">
        <v>0</v>
      </c>
      <c r="AB163" s="71">
        <v>2</v>
      </c>
      <c r="AC163" s="71">
        <v>0</v>
      </c>
      <c r="AD163" s="71">
        <v>3</v>
      </c>
      <c r="AE163" s="71">
        <v>0.38888888888888884</v>
      </c>
      <c r="AF163" s="70">
        <v>0</v>
      </c>
      <c r="AG163" s="70">
        <v>0</v>
      </c>
      <c r="AH163" s="70">
        <v>0</v>
      </c>
      <c r="AI163" s="70">
        <v>0</v>
      </c>
      <c r="AJ163" s="72" t="s">
        <v>964</v>
      </c>
    </row>
    <row r="164" spans="1:36" customFormat="1" x14ac:dyDescent="0.25">
      <c r="A164" s="68">
        <v>158</v>
      </c>
      <c r="B164" s="69" t="s">
        <v>238</v>
      </c>
      <c r="C164" s="69" t="s">
        <v>242</v>
      </c>
      <c r="D164" s="69" t="s">
        <v>586</v>
      </c>
      <c r="E164" s="69" t="s">
        <v>897</v>
      </c>
      <c r="F164" s="69" t="s">
        <v>529</v>
      </c>
      <c r="G164" s="69" t="s">
        <v>237</v>
      </c>
      <c r="H164" s="70">
        <v>0</v>
      </c>
      <c r="I164" s="70">
        <v>0</v>
      </c>
      <c r="J164" s="70">
        <v>0</v>
      </c>
      <c r="K164" s="70">
        <v>0</v>
      </c>
      <c r="L164" s="71">
        <v>0</v>
      </c>
      <c r="M164" s="71">
        <v>0</v>
      </c>
      <c r="N164" s="71">
        <v>0</v>
      </c>
      <c r="O164" s="71">
        <v>0</v>
      </c>
      <c r="P164" s="70">
        <v>0</v>
      </c>
      <c r="Q164" s="70">
        <v>0</v>
      </c>
      <c r="R164" s="70">
        <v>0</v>
      </c>
      <c r="S164" s="70">
        <v>0</v>
      </c>
      <c r="T164" s="71">
        <v>0</v>
      </c>
      <c r="U164" s="71">
        <v>0</v>
      </c>
      <c r="V164" s="71">
        <v>0</v>
      </c>
      <c r="W164" s="71">
        <v>0</v>
      </c>
      <c r="X164" s="70">
        <v>0</v>
      </c>
      <c r="Y164" s="70">
        <v>0</v>
      </c>
      <c r="Z164" s="70">
        <v>0</v>
      </c>
      <c r="AA164" s="70">
        <v>0</v>
      </c>
      <c r="AB164" s="71">
        <v>0</v>
      </c>
      <c r="AC164" s="71">
        <v>0</v>
      </c>
      <c r="AD164" s="71">
        <v>0</v>
      </c>
      <c r="AE164" s="71">
        <v>0</v>
      </c>
      <c r="AF164" s="70">
        <v>0</v>
      </c>
      <c r="AG164" s="70">
        <v>0</v>
      </c>
      <c r="AH164" s="70">
        <v>0</v>
      </c>
      <c r="AI164" s="70">
        <v>0</v>
      </c>
      <c r="AJ164" s="72" t="s">
        <v>478</v>
      </c>
    </row>
    <row r="165" spans="1:36" customFormat="1" x14ac:dyDescent="0.25">
      <c r="A165" s="68">
        <v>159</v>
      </c>
      <c r="B165" s="69" t="s">
        <v>238</v>
      </c>
      <c r="C165" s="69" t="s">
        <v>242</v>
      </c>
      <c r="D165" s="69" t="s">
        <v>587</v>
      </c>
      <c r="E165" s="69" t="s">
        <v>923</v>
      </c>
      <c r="F165" s="69" t="s">
        <v>588</v>
      </c>
      <c r="G165" s="69" t="s">
        <v>237</v>
      </c>
      <c r="H165" s="70">
        <v>6.1818181818181816E-3</v>
      </c>
      <c r="I165" s="70">
        <v>4.9454545454545454E-3</v>
      </c>
      <c r="J165" s="70">
        <v>7.4181818181818177E-3</v>
      </c>
      <c r="K165" s="70">
        <v>2.5476584022038532E-7</v>
      </c>
      <c r="L165" s="71">
        <v>0</v>
      </c>
      <c r="M165" s="71">
        <v>0</v>
      </c>
      <c r="N165" s="71">
        <v>0</v>
      </c>
      <c r="O165" s="71">
        <v>0</v>
      </c>
      <c r="P165" s="70">
        <v>6.1818181818181816E-3</v>
      </c>
      <c r="Q165" s="70">
        <v>4.9454545454545454E-3</v>
      </c>
      <c r="R165" s="70">
        <v>7.4181818181818177E-3</v>
      </c>
      <c r="S165" s="70">
        <v>2.5476584022038532E-7</v>
      </c>
      <c r="T165" s="71">
        <v>6.1818181818181816E-3</v>
      </c>
      <c r="U165" s="71">
        <v>4.9454545454545454E-3</v>
      </c>
      <c r="V165" s="71">
        <v>7.4181818181818177E-3</v>
      </c>
      <c r="W165" s="71">
        <v>2.5476584022038532E-7</v>
      </c>
      <c r="X165" s="70">
        <v>0</v>
      </c>
      <c r="Y165" s="70">
        <v>0</v>
      </c>
      <c r="Z165" s="70">
        <v>0</v>
      </c>
      <c r="AA165" s="70">
        <v>0</v>
      </c>
      <c r="AB165" s="71">
        <v>6.1818181818181816E-3</v>
      </c>
      <c r="AC165" s="71">
        <v>4.9454545454545454E-3</v>
      </c>
      <c r="AD165" s="71">
        <v>7.4181818181818177E-3</v>
      </c>
      <c r="AE165" s="71">
        <v>2.5476584022038532E-7</v>
      </c>
      <c r="AF165" s="70">
        <v>0</v>
      </c>
      <c r="AG165" s="70">
        <v>0</v>
      </c>
      <c r="AH165" s="70">
        <v>0</v>
      </c>
      <c r="AI165" s="70">
        <v>0</v>
      </c>
      <c r="AJ165" s="72" t="s">
        <v>478</v>
      </c>
    </row>
    <row r="166" spans="1:36" customFormat="1" x14ac:dyDescent="0.25">
      <c r="A166" s="68">
        <v>160</v>
      </c>
      <c r="B166" s="69" t="s">
        <v>238</v>
      </c>
      <c r="C166" s="69" t="s">
        <v>242</v>
      </c>
      <c r="D166" s="69" t="s">
        <v>589</v>
      </c>
      <c r="E166" s="69" t="s">
        <v>898</v>
      </c>
      <c r="F166" s="69" t="s">
        <v>529</v>
      </c>
      <c r="G166" s="69" t="s">
        <v>237</v>
      </c>
      <c r="H166" s="70">
        <v>2.9090909090909091E-4</v>
      </c>
      <c r="I166" s="70">
        <v>2.3272727272727274E-4</v>
      </c>
      <c r="J166" s="70">
        <v>3.4909090909090908E-4</v>
      </c>
      <c r="K166" s="70">
        <v>5.6418732782369348E-10</v>
      </c>
      <c r="L166" s="71">
        <v>0</v>
      </c>
      <c r="M166" s="71">
        <v>0</v>
      </c>
      <c r="N166" s="71">
        <v>0</v>
      </c>
      <c r="O166" s="71">
        <v>0</v>
      </c>
      <c r="P166" s="70">
        <v>2.9090909090909091E-4</v>
      </c>
      <c r="Q166" s="70">
        <v>2.3272727272727274E-4</v>
      </c>
      <c r="R166" s="70">
        <v>3.4909090909090908E-4</v>
      </c>
      <c r="S166" s="70">
        <v>5.6418732782369348E-10</v>
      </c>
      <c r="T166" s="71">
        <v>2.9090909090909091E-4</v>
      </c>
      <c r="U166" s="71">
        <v>2.3272727272727274E-4</v>
      </c>
      <c r="V166" s="71">
        <v>3.4909090909090908E-4</v>
      </c>
      <c r="W166" s="71">
        <v>5.6418732782369348E-10</v>
      </c>
      <c r="X166" s="70">
        <v>0</v>
      </c>
      <c r="Y166" s="70">
        <v>0</v>
      </c>
      <c r="Z166" s="70">
        <v>0</v>
      </c>
      <c r="AA166" s="70">
        <v>0</v>
      </c>
      <c r="AB166" s="71">
        <v>2.9090909090909091E-4</v>
      </c>
      <c r="AC166" s="71">
        <v>2.3272727272727274E-4</v>
      </c>
      <c r="AD166" s="71">
        <v>3.4909090909090908E-4</v>
      </c>
      <c r="AE166" s="71">
        <v>5.6418732782369348E-10</v>
      </c>
      <c r="AF166" s="70">
        <v>0</v>
      </c>
      <c r="AG166" s="70">
        <v>0</v>
      </c>
      <c r="AH166" s="70">
        <v>0</v>
      </c>
      <c r="AI166" s="70">
        <v>0</v>
      </c>
      <c r="AJ166" s="72" t="s">
        <v>478</v>
      </c>
    </row>
    <row r="167" spans="1:36" customFormat="1" x14ac:dyDescent="0.25">
      <c r="A167" s="68">
        <v>161</v>
      </c>
      <c r="B167" s="69" t="s">
        <v>238</v>
      </c>
      <c r="C167" s="69" t="s">
        <v>590</v>
      </c>
      <c r="D167" s="69" t="s">
        <v>591</v>
      </c>
      <c r="E167" s="69" t="s">
        <v>922</v>
      </c>
      <c r="F167" s="69" t="s">
        <v>588</v>
      </c>
      <c r="G167" s="69" t="s">
        <v>237</v>
      </c>
      <c r="H167" s="70">
        <v>200000000</v>
      </c>
      <c r="I167" s="70">
        <v>160000000</v>
      </c>
      <c r="J167" s="70">
        <v>240000000</v>
      </c>
      <c r="K167" s="70">
        <v>266666666666666.66</v>
      </c>
      <c r="L167" s="71">
        <v>0</v>
      </c>
      <c r="M167" s="71">
        <v>0</v>
      </c>
      <c r="N167" s="71">
        <v>0</v>
      </c>
      <c r="O167" s="71">
        <v>0</v>
      </c>
      <c r="P167" s="70">
        <v>0</v>
      </c>
      <c r="Q167" s="70">
        <v>0</v>
      </c>
      <c r="R167" s="70">
        <v>0</v>
      </c>
      <c r="S167" s="70">
        <v>0</v>
      </c>
      <c r="T167" s="71">
        <v>0</v>
      </c>
      <c r="U167" s="71">
        <v>0</v>
      </c>
      <c r="V167" s="71">
        <v>0</v>
      </c>
      <c r="W167" s="71">
        <v>0</v>
      </c>
      <c r="X167" s="70">
        <v>0</v>
      </c>
      <c r="Y167" s="70">
        <v>0</v>
      </c>
      <c r="Z167" s="70">
        <v>0</v>
      </c>
      <c r="AA167" s="70">
        <v>0</v>
      </c>
      <c r="AB167" s="71">
        <v>0</v>
      </c>
      <c r="AC167" s="71">
        <v>0</v>
      </c>
      <c r="AD167" s="71">
        <v>0</v>
      </c>
      <c r="AE167" s="71">
        <v>0</v>
      </c>
      <c r="AF167" s="70">
        <v>0</v>
      </c>
      <c r="AG167" s="70">
        <v>0</v>
      </c>
      <c r="AH167" s="70">
        <v>0</v>
      </c>
      <c r="AI167" s="70">
        <v>0</v>
      </c>
      <c r="AJ167" s="72" t="s">
        <v>478</v>
      </c>
    </row>
    <row r="168" spans="1:36" customFormat="1" x14ac:dyDescent="0.25">
      <c r="A168" s="68">
        <v>162</v>
      </c>
      <c r="B168" s="69" t="s">
        <v>238</v>
      </c>
      <c r="C168" s="69" t="s">
        <v>590</v>
      </c>
      <c r="D168" s="69" t="s">
        <v>592</v>
      </c>
      <c r="E168" s="69" t="s">
        <v>921</v>
      </c>
      <c r="F168" s="69" t="s">
        <v>588</v>
      </c>
      <c r="G168" s="69" t="s">
        <v>237</v>
      </c>
      <c r="H168" s="70">
        <v>2.6307712544394267E-5</v>
      </c>
      <c r="I168" s="70">
        <v>2.1046170035515414E-5</v>
      </c>
      <c r="J168" s="70">
        <v>3.156925505327312E-5</v>
      </c>
      <c r="K168" s="70">
        <v>4.6139715954565401E-12</v>
      </c>
      <c r="L168" s="71">
        <v>0</v>
      </c>
      <c r="M168" s="71">
        <v>0</v>
      </c>
      <c r="N168" s="71">
        <v>0</v>
      </c>
      <c r="O168" s="71">
        <v>0</v>
      </c>
      <c r="P168" s="70">
        <v>0</v>
      </c>
      <c r="Q168" s="70">
        <v>0</v>
      </c>
      <c r="R168" s="70">
        <v>0</v>
      </c>
      <c r="S168" s="70">
        <v>0</v>
      </c>
      <c r="T168" s="71">
        <v>5.4466230936819177E-4</v>
      </c>
      <c r="U168" s="71">
        <v>4.3572984749455342E-4</v>
      </c>
      <c r="V168" s="71">
        <v>6.5359477124183013E-4</v>
      </c>
      <c r="W168" s="71">
        <v>1.977713541641943E-9</v>
      </c>
      <c r="X168" s="70">
        <v>0</v>
      </c>
      <c r="Y168" s="70">
        <v>0</v>
      </c>
      <c r="Z168" s="70">
        <v>0</v>
      </c>
      <c r="AA168" s="70">
        <v>0</v>
      </c>
      <c r="AB168" s="71">
        <v>0</v>
      </c>
      <c r="AC168" s="71">
        <v>0</v>
      </c>
      <c r="AD168" s="71">
        <v>0</v>
      </c>
      <c r="AE168" s="71">
        <v>0</v>
      </c>
      <c r="AF168" s="70">
        <v>0</v>
      </c>
      <c r="AG168" s="70">
        <v>0</v>
      </c>
      <c r="AH168" s="70">
        <v>0</v>
      </c>
      <c r="AI168" s="70">
        <v>0</v>
      </c>
      <c r="AJ168" s="72" t="s">
        <v>478</v>
      </c>
    </row>
    <row r="169" spans="1:36" customFormat="1" x14ac:dyDescent="0.25">
      <c r="A169" s="68">
        <v>163</v>
      </c>
      <c r="B169" s="69" t="s">
        <v>238</v>
      </c>
      <c r="C169" s="69" t="s">
        <v>590</v>
      </c>
      <c r="D169" s="69" t="s">
        <v>593</v>
      </c>
      <c r="E169" s="69" t="s">
        <v>920</v>
      </c>
      <c r="F169" s="69" t="s">
        <v>588</v>
      </c>
      <c r="G169" s="69" t="s">
        <v>237</v>
      </c>
      <c r="H169" s="70">
        <v>2.0169246284035603E-3</v>
      </c>
      <c r="I169" s="70">
        <v>1.6135397027228482E-3</v>
      </c>
      <c r="J169" s="70">
        <v>2.4203095540842722E-3</v>
      </c>
      <c r="K169" s="70">
        <v>2.7119899711072249E-8</v>
      </c>
      <c r="L169" s="71">
        <v>0</v>
      </c>
      <c r="M169" s="71">
        <v>0</v>
      </c>
      <c r="N169" s="71">
        <v>0</v>
      </c>
      <c r="O169" s="71">
        <v>0</v>
      </c>
      <c r="P169" s="70">
        <v>0</v>
      </c>
      <c r="Q169" s="70">
        <v>0</v>
      </c>
      <c r="R169" s="70">
        <v>0</v>
      </c>
      <c r="S169" s="70">
        <v>0</v>
      </c>
      <c r="T169" s="71">
        <v>1.9970951343500363E-3</v>
      </c>
      <c r="U169" s="71">
        <v>1.5976761074800289E-3</v>
      </c>
      <c r="V169" s="71">
        <v>2.3965141612200436E-3</v>
      </c>
      <c r="W169" s="71">
        <v>2.6589259837630631E-8</v>
      </c>
      <c r="X169" s="70">
        <v>0</v>
      </c>
      <c r="Y169" s="70">
        <v>0</v>
      </c>
      <c r="Z169" s="70">
        <v>0</v>
      </c>
      <c r="AA169" s="70">
        <v>0</v>
      </c>
      <c r="AB169" s="71">
        <v>0</v>
      </c>
      <c r="AC169" s="71">
        <v>0</v>
      </c>
      <c r="AD169" s="71">
        <v>0</v>
      </c>
      <c r="AE169" s="71">
        <v>0</v>
      </c>
      <c r="AF169" s="70">
        <v>0</v>
      </c>
      <c r="AG169" s="70">
        <v>0</v>
      </c>
      <c r="AH169" s="70">
        <v>0</v>
      </c>
      <c r="AI169" s="70">
        <v>0</v>
      </c>
      <c r="AJ169" s="72" t="s">
        <v>478</v>
      </c>
    </row>
    <row r="170" spans="1:36" customFormat="1" x14ac:dyDescent="0.25">
      <c r="A170" s="68">
        <v>164</v>
      </c>
      <c r="B170" s="69" t="s">
        <v>238</v>
      </c>
      <c r="C170" s="69" t="s">
        <v>590</v>
      </c>
      <c r="D170" s="69" t="s">
        <v>594</v>
      </c>
      <c r="E170" s="69" t="s">
        <v>899</v>
      </c>
      <c r="F170" s="69" t="s">
        <v>529</v>
      </c>
      <c r="G170" s="69" t="s">
        <v>237</v>
      </c>
      <c r="H170" s="70">
        <v>0</v>
      </c>
      <c r="I170" s="70">
        <v>0</v>
      </c>
      <c r="J170" s="70">
        <v>0</v>
      </c>
      <c r="K170" s="70">
        <v>0</v>
      </c>
      <c r="L170" s="71">
        <v>0</v>
      </c>
      <c r="M170" s="71">
        <v>0</v>
      </c>
      <c r="N170" s="71">
        <v>0</v>
      </c>
      <c r="O170" s="71">
        <v>0</v>
      </c>
      <c r="P170" s="70">
        <v>0</v>
      </c>
      <c r="Q170" s="70">
        <v>0</v>
      </c>
      <c r="R170" s="70">
        <v>0</v>
      </c>
      <c r="S170" s="70">
        <v>0</v>
      </c>
      <c r="T170" s="71">
        <v>0.18155410312273057</v>
      </c>
      <c r="U170" s="71">
        <v>0.14524328249818447</v>
      </c>
      <c r="V170" s="71">
        <v>0.21786492374727667</v>
      </c>
      <c r="W170" s="71">
        <v>2.1974594907132728E-4</v>
      </c>
      <c r="X170" s="70">
        <v>0</v>
      </c>
      <c r="Y170" s="70">
        <v>0</v>
      </c>
      <c r="Z170" s="70">
        <v>0</v>
      </c>
      <c r="AA170" s="70">
        <v>0</v>
      </c>
      <c r="AB170" s="71">
        <v>0</v>
      </c>
      <c r="AC170" s="71">
        <v>0</v>
      </c>
      <c r="AD170" s="71">
        <v>0</v>
      </c>
      <c r="AE170" s="71">
        <v>0</v>
      </c>
      <c r="AF170" s="70">
        <v>0</v>
      </c>
      <c r="AG170" s="70">
        <v>0</v>
      </c>
      <c r="AH170" s="70">
        <v>0</v>
      </c>
      <c r="AI170" s="70">
        <v>0</v>
      </c>
      <c r="AJ170" s="72" t="s">
        <v>478</v>
      </c>
    </row>
    <row r="171" spans="1:36" customFormat="1" x14ac:dyDescent="0.25">
      <c r="A171" s="68">
        <v>165</v>
      </c>
      <c r="B171" s="69" t="s">
        <v>238</v>
      </c>
      <c r="C171" s="69" t="s">
        <v>590</v>
      </c>
      <c r="D171" s="69" t="s">
        <v>595</v>
      </c>
      <c r="E171" s="69" t="s">
        <v>900</v>
      </c>
      <c r="F171" s="69" t="s">
        <v>529</v>
      </c>
      <c r="G171" s="69" t="s">
        <v>237</v>
      </c>
      <c r="H171" s="70">
        <v>0</v>
      </c>
      <c r="I171" s="70">
        <v>0</v>
      </c>
      <c r="J171" s="70">
        <v>0</v>
      </c>
      <c r="K171" s="70">
        <v>0</v>
      </c>
      <c r="L171" s="71">
        <v>0</v>
      </c>
      <c r="M171" s="71">
        <v>0</v>
      </c>
      <c r="N171" s="71">
        <v>0</v>
      </c>
      <c r="O171" s="71">
        <v>0</v>
      </c>
      <c r="P171" s="70">
        <v>0</v>
      </c>
      <c r="Q171" s="70">
        <v>0</v>
      </c>
      <c r="R171" s="70">
        <v>0</v>
      </c>
      <c r="S171" s="70">
        <v>0</v>
      </c>
      <c r="T171" s="71">
        <v>5.4466230936819177E-4</v>
      </c>
      <c r="U171" s="71">
        <v>4.3572984749455342E-4</v>
      </c>
      <c r="V171" s="71">
        <v>6.5359477124183013E-4</v>
      </c>
      <c r="W171" s="71">
        <v>1.977713541641943E-9</v>
      </c>
      <c r="X171" s="70">
        <v>0</v>
      </c>
      <c r="Y171" s="70">
        <v>0</v>
      </c>
      <c r="Z171" s="70">
        <v>0</v>
      </c>
      <c r="AA171" s="70">
        <v>0</v>
      </c>
      <c r="AB171" s="71">
        <v>0</v>
      </c>
      <c r="AC171" s="71">
        <v>0</v>
      </c>
      <c r="AD171" s="71">
        <v>0</v>
      </c>
      <c r="AE171" s="71">
        <v>0</v>
      </c>
      <c r="AF171" s="70">
        <v>0</v>
      </c>
      <c r="AG171" s="70">
        <v>0</v>
      </c>
      <c r="AH171" s="70">
        <v>0</v>
      </c>
      <c r="AI171" s="70">
        <v>0</v>
      </c>
      <c r="AJ171" s="72" t="s">
        <v>478</v>
      </c>
    </row>
    <row r="172" spans="1:36" customFormat="1" x14ac:dyDescent="0.25">
      <c r="A172" s="68">
        <v>166</v>
      </c>
      <c r="B172" s="69" t="s">
        <v>238</v>
      </c>
      <c r="C172" s="69" t="s">
        <v>590</v>
      </c>
      <c r="D172" s="69" t="s">
        <v>596</v>
      </c>
      <c r="E172" s="69" t="s">
        <v>901</v>
      </c>
      <c r="F172" s="69" t="s">
        <v>597</v>
      </c>
      <c r="G172" s="69" t="s">
        <v>237</v>
      </c>
      <c r="H172" s="70">
        <v>2.1046170035515414E-4</v>
      </c>
      <c r="I172" s="70">
        <v>1.6836936028412331E-4</v>
      </c>
      <c r="J172" s="70">
        <v>2.5255404042618496E-4</v>
      </c>
      <c r="K172" s="70">
        <v>2.9529418210921857E-10</v>
      </c>
      <c r="L172" s="71">
        <v>0</v>
      </c>
      <c r="M172" s="71">
        <v>0</v>
      </c>
      <c r="N172" s="71">
        <v>0</v>
      </c>
      <c r="O172" s="71">
        <v>0</v>
      </c>
      <c r="P172" s="70">
        <v>0</v>
      </c>
      <c r="Q172" s="70">
        <v>0</v>
      </c>
      <c r="R172" s="70">
        <v>0</v>
      </c>
      <c r="S172" s="70">
        <v>0</v>
      </c>
      <c r="T172" s="71">
        <v>0</v>
      </c>
      <c r="U172" s="71">
        <v>0</v>
      </c>
      <c r="V172" s="71">
        <v>0</v>
      </c>
      <c r="W172" s="71">
        <v>0</v>
      </c>
      <c r="X172" s="70">
        <v>0</v>
      </c>
      <c r="Y172" s="70">
        <v>0</v>
      </c>
      <c r="Z172" s="70">
        <v>0</v>
      </c>
      <c r="AA172" s="70">
        <v>0</v>
      </c>
      <c r="AB172" s="71">
        <v>0</v>
      </c>
      <c r="AC172" s="71">
        <v>0</v>
      </c>
      <c r="AD172" s="71">
        <v>0</v>
      </c>
      <c r="AE172" s="71">
        <v>0</v>
      </c>
      <c r="AF172" s="70">
        <v>0</v>
      </c>
      <c r="AG172" s="70">
        <v>0</v>
      </c>
      <c r="AH172" s="70">
        <v>0</v>
      </c>
      <c r="AI172" s="70">
        <v>0</v>
      </c>
      <c r="AJ172" s="72" t="s">
        <v>478</v>
      </c>
    </row>
    <row r="173" spans="1:36" customFormat="1" x14ac:dyDescent="0.25">
      <c r="A173" s="68">
        <v>167</v>
      </c>
      <c r="B173" s="69" t="s">
        <v>238</v>
      </c>
      <c r="C173" s="69" t="s">
        <v>590</v>
      </c>
      <c r="D173" s="69" t="s">
        <v>598</v>
      </c>
      <c r="E173" s="69" t="s">
        <v>902</v>
      </c>
      <c r="F173" s="69" t="s">
        <v>529</v>
      </c>
      <c r="G173" s="69" t="s">
        <v>237</v>
      </c>
      <c r="H173" s="70">
        <v>3.5076950059192356E-4</v>
      </c>
      <c r="I173" s="70">
        <v>2.8061560047353885E-4</v>
      </c>
      <c r="J173" s="70">
        <v>4.2092340071030827E-4</v>
      </c>
      <c r="K173" s="70">
        <v>8.2026161697005065E-10</v>
      </c>
      <c r="L173" s="71">
        <v>0</v>
      </c>
      <c r="M173" s="71">
        <v>0</v>
      </c>
      <c r="N173" s="71">
        <v>0</v>
      </c>
      <c r="O173" s="71">
        <v>0</v>
      </c>
      <c r="P173" s="70">
        <v>0</v>
      </c>
      <c r="Q173" s="70">
        <v>0</v>
      </c>
      <c r="R173" s="70">
        <v>0</v>
      </c>
      <c r="S173" s="70">
        <v>0</v>
      </c>
      <c r="T173" s="71">
        <v>2.9048656499636893E-4</v>
      </c>
      <c r="U173" s="71">
        <v>2.3238925199709515E-4</v>
      </c>
      <c r="V173" s="71">
        <v>3.4858387799564274E-4</v>
      </c>
      <c r="W173" s="71">
        <v>5.6254962962259501E-10</v>
      </c>
      <c r="X173" s="70">
        <v>0</v>
      </c>
      <c r="Y173" s="70">
        <v>0</v>
      </c>
      <c r="Z173" s="70">
        <v>0</v>
      </c>
      <c r="AA173" s="70">
        <v>0</v>
      </c>
      <c r="AB173" s="71">
        <v>0</v>
      </c>
      <c r="AC173" s="71">
        <v>0</v>
      </c>
      <c r="AD173" s="71">
        <v>0</v>
      </c>
      <c r="AE173" s="71">
        <v>0</v>
      </c>
      <c r="AF173" s="70">
        <v>0</v>
      </c>
      <c r="AG173" s="70">
        <v>0</v>
      </c>
      <c r="AH173" s="70">
        <v>0</v>
      </c>
      <c r="AI173" s="70">
        <v>0</v>
      </c>
      <c r="AJ173" s="72" t="s">
        <v>478</v>
      </c>
    </row>
    <row r="174" spans="1:36" customFormat="1" x14ac:dyDescent="0.25">
      <c r="A174" s="68">
        <v>168</v>
      </c>
      <c r="B174" s="69" t="s">
        <v>238</v>
      </c>
      <c r="C174" s="69" t="s">
        <v>590</v>
      </c>
      <c r="D174" s="69" t="s">
        <v>599</v>
      </c>
      <c r="E174" s="69" t="s">
        <v>903</v>
      </c>
      <c r="F174" s="69" t="s">
        <v>600</v>
      </c>
      <c r="G174" s="69" t="s">
        <v>237</v>
      </c>
      <c r="H174" s="70">
        <v>0</v>
      </c>
      <c r="I174" s="70">
        <v>0</v>
      </c>
      <c r="J174" s="70">
        <v>0</v>
      </c>
      <c r="K174" s="70">
        <v>0</v>
      </c>
      <c r="L174" s="71">
        <v>0</v>
      </c>
      <c r="M174" s="71">
        <v>0</v>
      </c>
      <c r="N174" s="71">
        <v>0</v>
      </c>
      <c r="O174" s="71">
        <v>0</v>
      </c>
      <c r="P174" s="70">
        <v>0</v>
      </c>
      <c r="Q174" s="70">
        <v>0</v>
      </c>
      <c r="R174" s="70">
        <v>0</v>
      </c>
      <c r="S174" s="70">
        <v>0</v>
      </c>
      <c r="T174" s="71">
        <v>0</v>
      </c>
      <c r="U174" s="71">
        <v>0</v>
      </c>
      <c r="V174" s="71">
        <v>0</v>
      </c>
      <c r="W174" s="71">
        <v>0</v>
      </c>
      <c r="X174" s="70">
        <v>0</v>
      </c>
      <c r="Y174" s="70">
        <v>0</v>
      </c>
      <c r="Z174" s="70">
        <v>0</v>
      </c>
      <c r="AA174" s="70">
        <v>0</v>
      </c>
      <c r="AB174" s="71">
        <v>0</v>
      </c>
      <c r="AC174" s="71">
        <v>0</v>
      </c>
      <c r="AD174" s="71">
        <v>0</v>
      </c>
      <c r="AE174" s="71">
        <v>0</v>
      </c>
      <c r="AF174" s="70">
        <v>0</v>
      </c>
      <c r="AG174" s="70">
        <v>0</v>
      </c>
      <c r="AH174" s="70">
        <v>0</v>
      </c>
      <c r="AI174" s="70">
        <v>0</v>
      </c>
      <c r="AJ174" s="72" t="s">
        <v>478</v>
      </c>
    </row>
    <row r="175" spans="1:36" customFormat="1" x14ac:dyDescent="0.25">
      <c r="A175" s="68">
        <v>169</v>
      </c>
      <c r="B175" s="69" t="s">
        <v>238</v>
      </c>
      <c r="C175" s="69" t="s">
        <v>590</v>
      </c>
      <c r="D175" s="69" t="s">
        <v>601</v>
      </c>
      <c r="E175" s="69" t="s">
        <v>904</v>
      </c>
      <c r="F175" s="69" t="s">
        <v>532</v>
      </c>
      <c r="G175" s="69" t="s">
        <v>237</v>
      </c>
      <c r="H175" s="70">
        <v>4.224E-2</v>
      </c>
      <c r="I175" s="70">
        <v>0</v>
      </c>
      <c r="J175" s="70">
        <v>0</v>
      </c>
      <c r="K175" s="70">
        <v>9.9123199999999993E-5</v>
      </c>
      <c r="L175" s="71">
        <v>0</v>
      </c>
      <c r="M175" s="71">
        <v>0</v>
      </c>
      <c r="N175" s="71">
        <v>0</v>
      </c>
      <c r="O175" s="71">
        <v>0</v>
      </c>
      <c r="P175" s="70">
        <v>0</v>
      </c>
      <c r="Q175" s="70">
        <v>0</v>
      </c>
      <c r="R175" s="70">
        <v>0</v>
      </c>
      <c r="S175" s="70">
        <v>0</v>
      </c>
      <c r="T175" s="71">
        <v>4.224E-2</v>
      </c>
      <c r="U175" s="71">
        <v>0</v>
      </c>
      <c r="V175" s="71">
        <v>0</v>
      </c>
      <c r="W175" s="71">
        <v>9.9123199999999993E-5</v>
      </c>
      <c r="X175" s="70">
        <v>0</v>
      </c>
      <c r="Y175" s="70">
        <v>0</v>
      </c>
      <c r="Z175" s="70">
        <v>0</v>
      </c>
      <c r="AA175" s="70">
        <v>0</v>
      </c>
      <c r="AB175" s="71">
        <v>0</v>
      </c>
      <c r="AC175" s="71">
        <v>0</v>
      </c>
      <c r="AD175" s="71">
        <v>0</v>
      </c>
      <c r="AE175" s="71">
        <v>0</v>
      </c>
      <c r="AF175" s="70">
        <v>0</v>
      </c>
      <c r="AG175" s="70">
        <v>0</v>
      </c>
      <c r="AH175" s="70">
        <v>0</v>
      </c>
      <c r="AI175" s="70">
        <v>0</v>
      </c>
      <c r="AJ175" s="72" t="s">
        <v>478</v>
      </c>
    </row>
    <row r="176" spans="1:36" customFormat="1" x14ac:dyDescent="0.25">
      <c r="A176" s="68">
        <v>170</v>
      </c>
      <c r="B176" s="69" t="s">
        <v>238</v>
      </c>
      <c r="C176" s="69" t="s">
        <v>602</v>
      </c>
      <c r="D176" s="69" t="s">
        <v>603</v>
      </c>
      <c r="E176" s="69" t="s">
        <v>914</v>
      </c>
      <c r="F176" s="69" t="s">
        <v>604</v>
      </c>
      <c r="G176" s="69" t="s">
        <v>237</v>
      </c>
      <c r="H176" s="70">
        <v>0</v>
      </c>
      <c r="I176" s="70">
        <v>0</v>
      </c>
      <c r="J176" s="70">
        <v>0</v>
      </c>
      <c r="K176" s="70">
        <v>0</v>
      </c>
      <c r="L176" s="71">
        <v>0</v>
      </c>
      <c r="M176" s="71">
        <v>0</v>
      </c>
      <c r="N176" s="71">
        <v>0</v>
      </c>
      <c r="O176" s="71">
        <v>0</v>
      </c>
      <c r="P176" s="70">
        <v>0</v>
      </c>
      <c r="Q176" s="70">
        <v>0</v>
      </c>
      <c r="R176" s="70">
        <v>0</v>
      </c>
      <c r="S176" s="70">
        <v>0</v>
      </c>
      <c r="T176" s="71">
        <v>15000000</v>
      </c>
      <c r="U176" s="71">
        <v>12000000</v>
      </c>
      <c r="V176" s="71">
        <v>18000000</v>
      </c>
      <c r="W176" s="71">
        <v>1500000000000</v>
      </c>
      <c r="X176" s="70">
        <v>15000000</v>
      </c>
      <c r="Y176" s="70">
        <v>0</v>
      </c>
      <c r="Z176" s="70">
        <v>0</v>
      </c>
      <c r="AA176" s="70">
        <v>12500000000000</v>
      </c>
      <c r="AB176" s="71">
        <v>0</v>
      </c>
      <c r="AC176" s="71">
        <v>0</v>
      </c>
      <c r="AD176" s="71">
        <v>0</v>
      </c>
      <c r="AE176" s="71">
        <v>0</v>
      </c>
      <c r="AF176" s="70">
        <v>15000000</v>
      </c>
      <c r="AG176" s="70">
        <v>0</v>
      </c>
      <c r="AH176" s="70">
        <v>0</v>
      </c>
      <c r="AI176" s="70">
        <v>12500000000000</v>
      </c>
      <c r="AJ176" s="72" t="s">
        <v>478</v>
      </c>
    </row>
    <row r="177" spans="1:36" customFormat="1" x14ac:dyDescent="0.25">
      <c r="A177" s="68">
        <v>171</v>
      </c>
      <c r="B177" s="69" t="s">
        <v>238</v>
      </c>
      <c r="C177" s="69" t="s">
        <v>602</v>
      </c>
      <c r="D177" s="69" t="s">
        <v>605</v>
      </c>
      <c r="E177" s="69" t="s">
        <v>905</v>
      </c>
      <c r="F177" s="69" t="s">
        <v>532</v>
      </c>
      <c r="G177" s="69" t="s">
        <v>237</v>
      </c>
      <c r="H177" s="70">
        <v>0</v>
      </c>
      <c r="I177" s="70">
        <v>0</v>
      </c>
      <c r="J177" s="70">
        <v>0</v>
      </c>
      <c r="K177" s="70">
        <v>0</v>
      </c>
      <c r="L177" s="71">
        <v>0</v>
      </c>
      <c r="M177" s="71">
        <v>0</v>
      </c>
      <c r="N177" s="71">
        <v>0</v>
      </c>
      <c r="O177" s="71">
        <v>0</v>
      </c>
      <c r="P177" s="70">
        <v>0</v>
      </c>
      <c r="Q177" s="70">
        <v>0</v>
      </c>
      <c r="R177" s="70">
        <v>0</v>
      </c>
      <c r="S177" s="70">
        <v>0</v>
      </c>
      <c r="T177" s="71">
        <v>8448</v>
      </c>
      <c r="U177" s="71">
        <v>0</v>
      </c>
      <c r="V177" s="71">
        <v>0</v>
      </c>
      <c r="W177" s="71">
        <v>3964928</v>
      </c>
      <c r="X177" s="70">
        <v>8448</v>
      </c>
      <c r="Y177" s="70">
        <v>0</v>
      </c>
      <c r="Z177" s="70">
        <v>0</v>
      </c>
      <c r="AA177" s="70">
        <v>3964928</v>
      </c>
      <c r="AB177" s="71">
        <v>0</v>
      </c>
      <c r="AC177" s="71">
        <v>0</v>
      </c>
      <c r="AD177" s="71">
        <v>0</v>
      </c>
      <c r="AE177" s="71">
        <v>0</v>
      </c>
      <c r="AF177" s="70">
        <v>8448</v>
      </c>
      <c r="AG177" s="70">
        <v>0</v>
      </c>
      <c r="AH177" s="70">
        <v>0</v>
      </c>
      <c r="AI177" s="70">
        <v>3964928</v>
      </c>
      <c r="AJ177" s="72" t="s">
        <v>478</v>
      </c>
    </row>
    <row r="178" spans="1:36" customFormat="1" x14ac:dyDescent="0.25">
      <c r="A178" s="68">
        <v>172</v>
      </c>
      <c r="B178" s="69" t="s">
        <v>238</v>
      </c>
      <c r="C178" s="69" t="s">
        <v>602</v>
      </c>
      <c r="D178" s="69" t="s">
        <v>606</v>
      </c>
      <c r="E178" s="69" t="s">
        <v>906</v>
      </c>
      <c r="F178" s="69" t="s">
        <v>607</v>
      </c>
      <c r="G178" s="69" t="s">
        <v>237</v>
      </c>
      <c r="H178" s="70">
        <v>0</v>
      </c>
      <c r="I178" s="70">
        <v>0</v>
      </c>
      <c r="J178" s="70">
        <v>0</v>
      </c>
      <c r="K178" s="70">
        <v>0</v>
      </c>
      <c r="L178" s="71">
        <v>0</v>
      </c>
      <c r="M178" s="71">
        <v>0</v>
      </c>
      <c r="N178" s="71">
        <v>0</v>
      </c>
      <c r="O178" s="71">
        <v>0</v>
      </c>
      <c r="P178" s="70">
        <v>0</v>
      </c>
      <c r="Q178" s="70">
        <v>0</v>
      </c>
      <c r="R178" s="70">
        <v>0</v>
      </c>
      <c r="S178" s="70">
        <v>0</v>
      </c>
      <c r="T178" s="71">
        <v>0</v>
      </c>
      <c r="U178" s="71">
        <v>0</v>
      </c>
      <c r="V178" s="71">
        <v>0</v>
      </c>
      <c r="W178" s="71">
        <v>0</v>
      </c>
      <c r="X178" s="70">
        <v>0</v>
      </c>
      <c r="Y178" s="70">
        <v>0</v>
      </c>
      <c r="Z178" s="70">
        <v>0</v>
      </c>
      <c r="AA178" s="70">
        <v>0</v>
      </c>
      <c r="AB178" s="71">
        <v>0</v>
      </c>
      <c r="AC178" s="71">
        <v>0</v>
      </c>
      <c r="AD178" s="71">
        <v>0</v>
      </c>
      <c r="AE178" s="71">
        <v>0</v>
      </c>
      <c r="AF178" s="70">
        <v>0</v>
      </c>
      <c r="AG178" s="70">
        <v>0</v>
      </c>
      <c r="AH178" s="70">
        <v>0</v>
      </c>
      <c r="AI178" s="70">
        <v>0</v>
      </c>
      <c r="AJ178" s="72" t="s">
        <v>478</v>
      </c>
    </row>
    <row r="179" spans="1:36" customFormat="1" x14ac:dyDescent="0.25">
      <c r="A179" s="68">
        <v>173</v>
      </c>
      <c r="B179" s="69" t="s">
        <v>238</v>
      </c>
      <c r="C179" s="69" t="s">
        <v>602</v>
      </c>
      <c r="D179" s="69" t="s">
        <v>608</v>
      </c>
      <c r="E179" s="69" t="s">
        <v>907</v>
      </c>
      <c r="F179" s="69" t="s">
        <v>609</v>
      </c>
      <c r="G179" s="69" t="s">
        <v>237</v>
      </c>
      <c r="H179" s="70">
        <v>0</v>
      </c>
      <c r="I179" s="70">
        <v>0</v>
      </c>
      <c r="J179" s="70">
        <v>0</v>
      </c>
      <c r="K179" s="70">
        <v>0</v>
      </c>
      <c r="L179" s="71">
        <v>0</v>
      </c>
      <c r="M179" s="71">
        <v>0</v>
      </c>
      <c r="N179" s="71">
        <v>0</v>
      </c>
      <c r="O179" s="71">
        <v>0</v>
      </c>
      <c r="P179" s="70">
        <v>0</v>
      </c>
      <c r="Q179" s="70">
        <v>0</v>
      </c>
      <c r="R179" s="70">
        <v>0</v>
      </c>
      <c r="S179" s="70">
        <v>0</v>
      </c>
      <c r="T179" s="71">
        <v>0</v>
      </c>
      <c r="U179" s="71">
        <v>0</v>
      </c>
      <c r="V179" s="71">
        <v>0</v>
      </c>
      <c r="W179" s="71">
        <v>0</v>
      </c>
      <c r="X179" s="70">
        <v>0.45800000000000002</v>
      </c>
      <c r="Y179" s="70">
        <v>0</v>
      </c>
      <c r="Z179" s="70">
        <v>0</v>
      </c>
      <c r="AA179" s="70">
        <v>1.1653555555555556E-2</v>
      </c>
      <c r="AB179" s="71">
        <v>0</v>
      </c>
      <c r="AC179" s="71">
        <v>0</v>
      </c>
      <c r="AD179" s="71">
        <v>0</v>
      </c>
      <c r="AE179" s="71">
        <v>0</v>
      </c>
      <c r="AF179" s="70">
        <v>0.6984999999999999</v>
      </c>
      <c r="AG179" s="70">
        <v>0</v>
      </c>
      <c r="AH179" s="70">
        <v>0</v>
      </c>
      <c r="AI179" s="70">
        <v>2.7105680555555546E-2</v>
      </c>
      <c r="AJ179" s="72" t="s">
        <v>478</v>
      </c>
    </row>
    <row r="180" spans="1:36" customFormat="1" x14ac:dyDescent="0.25">
      <c r="A180" s="68">
        <v>174</v>
      </c>
      <c r="B180" s="69" t="s">
        <v>238</v>
      </c>
      <c r="C180" s="69" t="s">
        <v>602</v>
      </c>
      <c r="D180" s="69" t="s">
        <v>610</v>
      </c>
      <c r="E180" s="69" t="s">
        <v>908</v>
      </c>
      <c r="F180" s="69" t="s">
        <v>611</v>
      </c>
      <c r="G180" s="69" t="s">
        <v>237</v>
      </c>
      <c r="H180" s="70">
        <v>0</v>
      </c>
      <c r="I180" s="70">
        <v>0</v>
      </c>
      <c r="J180" s="70">
        <v>0</v>
      </c>
      <c r="K180" s="70">
        <v>0</v>
      </c>
      <c r="L180" s="71">
        <v>0</v>
      </c>
      <c r="M180" s="71">
        <v>0</v>
      </c>
      <c r="N180" s="71">
        <v>0</v>
      </c>
      <c r="O180" s="71">
        <v>0</v>
      </c>
      <c r="P180" s="70">
        <v>0</v>
      </c>
      <c r="Q180" s="70">
        <v>0</v>
      </c>
      <c r="R180" s="70">
        <v>0</v>
      </c>
      <c r="S180" s="70">
        <v>0</v>
      </c>
      <c r="T180" s="71">
        <v>0.33300000000000002</v>
      </c>
      <c r="U180" s="71">
        <v>0</v>
      </c>
      <c r="V180" s="71">
        <v>0</v>
      </c>
      <c r="W180" s="71">
        <v>6.1605000000000002E-3</v>
      </c>
      <c r="X180" s="70">
        <v>0</v>
      </c>
      <c r="Y180" s="70">
        <v>0</v>
      </c>
      <c r="Z180" s="70">
        <v>0</v>
      </c>
      <c r="AA180" s="70">
        <v>0</v>
      </c>
      <c r="AB180" s="71">
        <v>0</v>
      </c>
      <c r="AC180" s="71">
        <v>0</v>
      </c>
      <c r="AD180" s="71">
        <v>0</v>
      </c>
      <c r="AE180" s="71">
        <v>0</v>
      </c>
      <c r="AF180" s="70">
        <v>0</v>
      </c>
      <c r="AG180" s="70">
        <v>0</v>
      </c>
      <c r="AH180" s="70">
        <v>0</v>
      </c>
      <c r="AI180" s="70">
        <v>0</v>
      </c>
      <c r="AJ180" s="72" t="s">
        <v>478</v>
      </c>
    </row>
    <row r="181" spans="1:36" customFormat="1" x14ac:dyDescent="0.25">
      <c r="A181" s="68">
        <v>175</v>
      </c>
      <c r="B181" s="69" t="s">
        <v>238</v>
      </c>
      <c r="C181" s="69" t="s">
        <v>602</v>
      </c>
      <c r="D181" s="69" t="s">
        <v>612</v>
      </c>
      <c r="E181" s="69" t="s">
        <v>912</v>
      </c>
      <c r="F181" s="69" t="s">
        <v>613</v>
      </c>
      <c r="G181" s="69" t="s">
        <v>237</v>
      </c>
      <c r="H181" s="70">
        <v>0</v>
      </c>
      <c r="I181" s="70">
        <v>0</v>
      </c>
      <c r="J181" s="70">
        <v>0</v>
      </c>
      <c r="K181" s="70">
        <v>0</v>
      </c>
      <c r="L181" s="71">
        <v>0</v>
      </c>
      <c r="M181" s="71">
        <v>0</v>
      </c>
      <c r="N181" s="71">
        <v>0</v>
      </c>
      <c r="O181" s="71">
        <v>0</v>
      </c>
      <c r="P181" s="70">
        <v>0</v>
      </c>
      <c r="Q181" s="70">
        <v>0</v>
      </c>
      <c r="R181" s="70">
        <v>0</v>
      </c>
      <c r="S181" s="70">
        <v>0</v>
      </c>
      <c r="T181" s="71">
        <v>0.03</v>
      </c>
      <c r="U181" s="71">
        <v>2.9608938547486037E-2</v>
      </c>
      <c r="V181" s="71">
        <v>3.7988826815642467E-2</v>
      </c>
      <c r="W181" s="71">
        <v>3.7276891760210141E-6</v>
      </c>
      <c r="X181" s="70">
        <v>6.2288000000000003E-2</v>
      </c>
      <c r="Y181" s="70">
        <v>0</v>
      </c>
      <c r="Z181" s="70">
        <v>0</v>
      </c>
      <c r="AA181" s="70">
        <v>2.1554416355555557E-4</v>
      </c>
      <c r="AB181" s="71">
        <v>0</v>
      </c>
      <c r="AC181" s="71">
        <v>0</v>
      </c>
      <c r="AD181" s="71">
        <v>0</v>
      </c>
      <c r="AE181" s="71">
        <v>0</v>
      </c>
      <c r="AF181" s="70">
        <v>3.3527999999999995E-2</v>
      </c>
      <c r="AG181" s="70">
        <v>0</v>
      </c>
      <c r="AH181" s="70">
        <v>0</v>
      </c>
      <c r="AI181" s="70">
        <v>6.2451487999999977E-5</v>
      </c>
      <c r="AJ181" s="72" t="s">
        <v>478</v>
      </c>
    </row>
    <row r="182" spans="1:36" customFormat="1" x14ac:dyDescent="0.25">
      <c r="A182" s="68">
        <v>176</v>
      </c>
      <c r="B182" s="69" t="s">
        <v>238</v>
      </c>
      <c r="C182" s="69" t="s">
        <v>602</v>
      </c>
      <c r="D182" s="69" t="s">
        <v>614</v>
      </c>
      <c r="E182" s="69" t="s">
        <v>913</v>
      </c>
      <c r="F182" s="69" t="s">
        <v>615</v>
      </c>
      <c r="G182" s="69" t="s">
        <v>237</v>
      </c>
      <c r="H182" s="70">
        <v>0</v>
      </c>
      <c r="I182" s="70">
        <v>0</v>
      </c>
      <c r="J182" s="70">
        <v>0</v>
      </c>
      <c r="K182" s="70">
        <v>0</v>
      </c>
      <c r="L182" s="71">
        <v>0</v>
      </c>
      <c r="M182" s="71">
        <v>0</v>
      </c>
      <c r="N182" s="71">
        <v>0</v>
      </c>
      <c r="O182" s="71">
        <v>0</v>
      </c>
      <c r="P182" s="70">
        <v>0</v>
      </c>
      <c r="Q182" s="70">
        <v>0</v>
      </c>
      <c r="R182" s="70">
        <v>0</v>
      </c>
      <c r="S182" s="70">
        <v>0</v>
      </c>
      <c r="T182" s="71">
        <v>0</v>
      </c>
      <c r="U182" s="71">
        <v>0</v>
      </c>
      <c r="V182" s="71">
        <v>0</v>
      </c>
      <c r="W182" s="71">
        <v>0</v>
      </c>
      <c r="X182" s="70">
        <v>3.48E-4</v>
      </c>
      <c r="Y182" s="70">
        <v>0</v>
      </c>
      <c r="Z182" s="70">
        <v>0</v>
      </c>
      <c r="AA182" s="70">
        <v>6.7279999999999991E-9</v>
      </c>
      <c r="AB182" s="71">
        <v>0</v>
      </c>
      <c r="AC182" s="71">
        <v>0</v>
      </c>
      <c r="AD182" s="71">
        <v>0</v>
      </c>
      <c r="AE182" s="71">
        <v>0</v>
      </c>
      <c r="AF182" s="70">
        <v>4.6100999999999998E-4</v>
      </c>
      <c r="AG182" s="70">
        <v>0</v>
      </c>
      <c r="AH182" s="70">
        <v>0</v>
      </c>
      <c r="AI182" s="70">
        <v>1.1807234449999999E-8</v>
      </c>
      <c r="AJ182" s="72" t="s">
        <v>478</v>
      </c>
    </row>
    <row r="183" spans="1:36" customFormat="1" x14ac:dyDescent="0.25">
      <c r="A183" s="68">
        <v>177</v>
      </c>
      <c r="B183" s="69" t="s">
        <v>238</v>
      </c>
      <c r="C183" s="69" t="s">
        <v>602</v>
      </c>
      <c r="D183" s="69" t="s">
        <v>616</v>
      </c>
      <c r="E183" s="69" t="s">
        <v>909</v>
      </c>
      <c r="F183" s="69" t="s">
        <v>615</v>
      </c>
      <c r="G183" s="69" t="s">
        <v>237</v>
      </c>
      <c r="H183" s="70">
        <v>0</v>
      </c>
      <c r="I183" s="70">
        <v>0</v>
      </c>
      <c r="J183" s="70">
        <v>0</v>
      </c>
      <c r="K183" s="70">
        <v>0</v>
      </c>
      <c r="L183" s="71">
        <v>0</v>
      </c>
      <c r="M183" s="71">
        <v>0</v>
      </c>
      <c r="N183" s="71">
        <v>0</v>
      </c>
      <c r="O183" s="71">
        <v>0</v>
      </c>
      <c r="P183" s="70">
        <v>0</v>
      </c>
      <c r="Q183" s="70">
        <v>0</v>
      </c>
      <c r="R183" s="70">
        <v>0</v>
      </c>
      <c r="S183" s="70">
        <v>0</v>
      </c>
      <c r="T183" s="71">
        <v>2.0350000000000001</v>
      </c>
      <c r="U183" s="71">
        <v>0</v>
      </c>
      <c r="V183" s="71">
        <v>0</v>
      </c>
      <c r="W183" s="71">
        <v>0.23006805555555557</v>
      </c>
      <c r="X183" s="70">
        <v>0</v>
      </c>
      <c r="Y183" s="70">
        <v>0</v>
      </c>
      <c r="Z183" s="70">
        <v>0</v>
      </c>
      <c r="AA183" s="70">
        <v>0</v>
      </c>
      <c r="AB183" s="71">
        <v>0</v>
      </c>
      <c r="AC183" s="71">
        <v>0</v>
      </c>
      <c r="AD183" s="71">
        <v>0</v>
      </c>
      <c r="AE183" s="71">
        <v>0</v>
      </c>
      <c r="AF183" s="70">
        <v>0</v>
      </c>
      <c r="AG183" s="70">
        <v>0</v>
      </c>
      <c r="AH183" s="70">
        <v>0</v>
      </c>
      <c r="AI183" s="70">
        <v>0</v>
      </c>
      <c r="AJ183" s="72" t="s">
        <v>478</v>
      </c>
    </row>
    <row r="184" spans="1:36" customFormat="1" x14ac:dyDescent="0.25">
      <c r="A184" s="68">
        <v>178</v>
      </c>
      <c r="B184" s="69" t="s">
        <v>238</v>
      </c>
      <c r="C184" s="69" t="s">
        <v>602</v>
      </c>
      <c r="D184" s="69" t="s">
        <v>617</v>
      </c>
      <c r="E184" s="69" t="s">
        <v>910</v>
      </c>
      <c r="F184" s="69" t="s">
        <v>607</v>
      </c>
      <c r="G184" s="69" t="s">
        <v>237</v>
      </c>
      <c r="H184" s="70">
        <v>0</v>
      </c>
      <c r="I184" s="70">
        <v>0</v>
      </c>
      <c r="J184" s="70">
        <v>0</v>
      </c>
      <c r="K184" s="70">
        <v>0</v>
      </c>
      <c r="L184" s="71">
        <v>0</v>
      </c>
      <c r="M184" s="71">
        <v>0</v>
      </c>
      <c r="N184" s="71">
        <v>0</v>
      </c>
      <c r="O184" s="71">
        <v>0</v>
      </c>
      <c r="P184" s="70">
        <v>0</v>
      </c>
      <c r="Q184" s="70">
        <v>0</v>
      </c>
      <c r="R184" s="70">
        <v>0</v>
      </c>
      <c r="S184" s="70">
        <v>0</v>
      </c>
      <c r="T184" s="71">
        <v>6.5659999999999996E-2</v>
      </c>
      <c r="U184" s="71">
        <v>0</v>
      </c>
      <c r="V184" s="71">
        <v>0</v>
      </c>
      <c r="W184" s="71">
        <v>2.3951308888888885E-4</v>
      </c>
      <c r="X184" s="70">
        <v>0</v>
      </c>
      <c r="Y184" s="70">
        <v>0</v>
      </c>
      <c r="Z184" s="70">
        <v>0</v>
      </c>
      <c r="AA184" s="70">
        <v>0</v>
      </c>
      <c r="AB184" s="71">
        <v>0</v>
      </c>
      <c r="AC184" s="71">
        <v>0</v>
      </c>
      <c r="AD184" s="71">
        <v>0</v>
      </c>
      <c r="AE184" s="71">
        <v>0</v>
      </c>
      <c r="AF184" s="70">
        <v>0</v>
      </c>
      <c r="AG184" s="70">
        <v>0</v>
      </c>
      <c r="AH184" s="70">
        <v>0</v>
      </c>
      <c r="AI184" s="70">
        <v>0</v>
      </c>
      <c r="AJ184" s="72" t="s">
        <v>478</v>
      </c>
    </row>
    <row r="185" spans="1:36" customFormat="1" x14ac:dyDescent="0.25">
      <c r="A185" s="68">
        <v>179</v>
      </c>
      <c r="B185" s="69" t="s">
        <v>238</v>
      </c>
      <c r="C185" s="69" t="s">
        <v>602</v>
      </c>
      <c r="D185" s="69" t="s">
        <v>618</v>
      </c>
      <c r="E185" s="69" t="s">
        <v>911</v>
      </c>
      <c r="F185" s="69" t="s">
        <v>607</v>
      </c>
      <c r="G185" s="69" t="s">
        <v>237</v>
      </c>
      <c r="H185" s="70">
        <v>0</v>
      </c>
      <c r="I185" s="70">
        <v>0</v>
      </c>
      <c r="J185" s="70">
        <v>0</v>
      </c>
      <c r="K185" s="70">
        <v>0</v>
      </c>
      <c r="L185" s="71">
        <v>0</v>
      </c>
      <c r="M185" s="71">
        <v>0</v>
      </c>
      <c r="N185" s="71">
        <v>0</v>
      </c>
      <c r="O185" s="71">
        <v>0</v>
      </c>
      <c r="P185" s="70">
        <v>0</v>
      </c>
      <c r="Q185" s="70">
        <v>0</v>
      </c>
      <c r="R185" s="70">
        <v>0</v>
      </c>
      <c r="S185" s="70">
        <v>0</v>
      </c>
      <c r="T185" s="71">
        <v>4.018E-2</v>
      </c>
      <c r="U185" s="71">
        <v>0</v>
      </c>
      <c r="V185" s="71">
        <v>0</v>
      </c>
      <c r="W185" s="71">
        <v>8.9690688888888889E-5</v>
      </c>
      <c r="X185" s="70">
        <v>0</v>
      </c>
      <c r="Y185" s="70">
        <v>0</v>
      </c>
      <c r="Z185" s="70">
        <v>0</v>
      </c>
      <c r="AA185" s="70">
        <v>0</v>
      </c>
      <c r="AB185" s="71">
        <v>0</v>
      </c>
      <c r="AC185" s="71">
        <v>0</v>
      </c>
      <c r="AD185" s="71">
        <v>0</v>
      </c>
      <c r="AE185" s="71">
        <v>0</v>
      </c>
      <c r="AF185" s="70">
        <v>0</v>
      </c>
      <c r="AG185" s="70">
        <v>0</v>
      </c>
      <c r="AH185" s="70">
        <v>0</v>
      </c>
      <c r="AI185" s="70">
        <v>0</v>
      </c>
      <c r="AJ185" s="72" t="s">
        <v>478</v>
      </c>
    </row>
    <row r="186" spans="1:36" customFormat="1" x14ac:dyDescent="0.25">
      <c r="A186" s="68">
        <v>180</v>
      </c>
      <c r="B186" s="69" t="s">
        <v>238</v>
      </c>
      <c r="C186" s="69" t="s">
        <v>619</v>
      </c>
      <c r="D186" s="69" t="s">
        <v>620</v>
      </c>
      <c r="E186" s="69" t="s">
        <v>917</v>
      </c>
      <c r="F186" s="69" t="s">
        <v>604</v>
      </c>
      <c r="G186" s="69" t="s">
        <v>237</v>
      </c>
      <c r="H186" s="70">
        <v>0</v>
      </c>
      <c r="I186" s="70">
        <v>0</v>
      </c>
      <c r="J186" s="70">
        <v>0</v>
      </c>
      <c r="K186" s="70">
        <v>0</v>
      </c>
      <c r="L186" s="71">
        <v>0</v>
      </c>
      <c r="M186" s="71">
        <v>0</v>
      </c>
      <c r="N186" s="71">
        <v>0</v>
      </c>
      <c r="O186" s="71">
        <v>0</v>
      </c>
      <c r="P186" s="70">
        <v>13800000</v>
      </c>
      <c r="Q186" s="70">
        <v>13800000</v>
      </c>
      <c r="R186" s="70">
        <v>30000000</v>
      </c>
      <c r="S186" s="70">
        <v>14580000000000</v>
      </c>
      <c r="T186" s="71">
        <v>0</v>
      </c>
      <c r="U186" s="71">
        <v>0</v>
      </c>
      <c r="V186" s="71">
        <v>0</v>
      </c>
      <c r="W186" s="71">
        <v>0</v>
      </c>
      <c r="X186" s="70">
        <v>0</v>
      </c>
      <c r="Y186" s="70">
        <v>0</v>
      </c>
      <c r="Z186" s="70">
        <v>0</v>
      </c>
      <c r="AA186" s="70">
        <v>0</v>
      </c>
      <c r="AB186" s="71">
        <v>0</v>
      </c>
      <c r="AC186" s="71">
        <v>0</v>
      </c>
      <c r="AD186" s="71">
        <v>0</v>
      </c>
      <c r="AE186" s="71">
        <v>0</v>
      </c>
      <c r="AF186" s="70">
        <v>0</v>
      </c>
      <c r="AG186" s="70">
        <v>0</v>
      </c>
      <c r="AH186" s="70">
        <v>0</v>
      </c>
      <c r="AI186" s="70">
        <v>0</v>
      </c>
      <c r="AJ186" s="72" t="s">
        <v>478</v>
      </c>
    </row>
    <row r="187" spans="1:36" customFormat="1" x14ac:dyDescent="0.25">
      <c r="A187" s="68">
        <v>181</v>
      </c>
      <c r="B187" s="69" t="s">
        <v>238</v>
      </c>
      <c r="C187" s="69" t="s">
        <v>619</v>
      </c>
      <c r="D187" s="69" t="s">
        <v>621</v>
      </c>
      <c r="E187" s="69" t="s">
        <v>622</v>
      </c>
      <c r="F187" s="69" t="s">
        <v>532</v>
      </c>
      <c r="G187" s="69" t="s">
        <v>237</v>
      </c>
      <c r="H187" s="70">
        <v>0</v>
      </c>
      <c r="I187" s="70">
        <v>0</v>
      </c>
      <c r="J187" s="70">
        <v>0</v>
      </c>
      <c r="K187" s="70">
        <v>0</v>
      </c>
      <c r="L187" s="71">
        <v>0</v>
      </c>
      <c r="M187" s="71">
        <v>0</v>
      </c>
      <c r="N187" s="71">
        <v>0</v>
      </c>
      <c r="O187" s="71">
        <v>0</v>
      </c>
      <c r="P187" s="70">
        <v>12672</v>
      </c>
      <c r="Q187" s="70">
        <v>10137.6</v>
      </c>
      <c r="R187" s="70">
        <v>15206.4</v>
      </c>
      <c r="S187" s="70">
        <v>1070530.5599999973</v>
      </c>
      <c r="T187" s="71">
        <v>0</v>
      </c>
      <c r="U187" s="71">
        <v>0</v>
      </c>
      <c r="V187" s="71">
        <v>0</v>
      </c>
      <c r="W187" s="71">
        <v>0</v>
      </c>
      <c r="X187" s="70">
        <v>0</v>
      </c>
      <c r="Y187" s="70">
        <v>0</v>
      </c>
      <c r="Z187" s="70">
        <v>0</v>
      </c>
      <c r="AA187" s="70">
        <v>0</v>
      </c>
      <c r="AB187" s="71">
        <v>0</v>
      </c>
      <c r="AC187" s="71">
        <v>0</v>
      </c>
      <c r="AD187" s="71">
        <v>0</v>
      </c>
      <c r="AE187" s="71">
        <v>0</v>
      </c>
      <c r="AF187" s="70">
        <v>0</v>
      </c>
      <c r="AG187" s="70">
        <v>0</v>
      </c>
      <c r="AH187" s="70">
        <v>0</v>
      </c>
      <c r="AI187" s="70">
        <v>0</v>
      </c>
      <c r="AJ187" s="72" t="s">
        <v>478</v>
      </c>
    </row>
    <row r="188" spans="1:36" customFormat="1" x14ac:dyDescent="0.25">
      <c r="A188" s="68">
        <v>182</v>
      </c>
      <c r="B188" s="69" t="s">
        <v>238</v>
      </c>
      <c r="C188" s="69" t="s">
        <v>619</v>
      </c>
      <c r="D188" s="69" t="s">
        <v>623</v>
      </c>
      <c r="E188" s="69" t="s">
        <v>624</v>
      </c>
      <c r="F188" s="69" t="s">
        <v>607</v>
      </c>
      <c r="G188" s="69" t="s">
        <v>237</v>
      </c>
      <c r="H188" s="70">
        <v>0</v>
      </c>
      <c r="I188" s="70">
        <v>0</v>
      </c>
      <c r="J188" s="70">
        <v>0</v>
      </c>
      <c r="K188" s="70">
        <v>0</v>
      </c>
      <c r="L188" s="71">
        <v>0</v>
      </c>
      <c r="M188" s="71">
        <v>0</v>
      </c>
      <c r="N188" s="71">
        <v>0</v>
      </c>
      <c r="O188" s="71">
        <v>0</v>
      </c>
      <c r="P188" s="70">
        <v>1.7999999999999999E-2</v>
      </c>
      <c r="Q188" s="70">
        <v>1.44E-2</v>
      </c>
      <c r="R188" s="70">
        <v>2.1599999999999998E-2</v>
      </c>
      <c r="S188" s="70">
        <v>2.1599999999999988E-6</v>
      </c>
      <c r="T188" s="71">
        <v>0</v>
      </c>
      <c r="U188" s="71">
        <v>0</v>
      </c>
      <c r="V188" s="71">
        <v>0</v>
      </c>
      <c r="W188" s="71">
        <v>0</v>
      </c>
      <c r="X188" s="70">
        <v>0</v>
      </c>
      <c r="Y188" s="70">
        <v>0</v>
      </c>
      <c r="Z188" s="70">
        <v>0</v>
      </c>
      <c r="AA188" s="70">
        <v>0</v>
      </c>
      <c r="AB188" s="71">
        <v>0</v>
      </c>
      <c r="AC188" s="71">
        <v>0</v>
      </c>
      <c r="AD188" s="71">
        <v>0</v>
      </c>
      <c r="AE188" s="71">
        <v>0</v>
      </c>
      <c r="AF188" s="70">
        <v>0</v>
      </c>
      <c r="AG188" s="70">
        <v>0</v>
      </c>
      <c r="AH188" s="70">
        <v>0</v>
      </c>
      <c r="AI188" s="70">
        <v>0</v>
      </c>
      <c r="AJ188" s="72" t="s">
        <v>478</v>
      </c>
    </row>
    <row r="189" spans="1:36" customFormat="1" x14ac:dyDescent="0.25">
      <c r="A189" s="68">
        <v>183</v>
      </c>
      <c r="B189" s="69" t="s">
        <v>238</v>
      </c>
      <c r="C189" s="69" t="s">
        <v>619</v>
      </c>
      <c r="D189" s="69" t="s">
        <v>625</v>
      </c>
      <c r="E189" s="69" t="s">
        <v>626</v>
      </c>
      <c r="F189" s="69" t="s">
        <v>607</v>
      </c>
      <c r="G189" s="69" t="s">
        <v>237</v>
      </c>
      <c r="H189" s="70">
        <v>0</v>
      </c>
      <c r="I189" s="70">
        <v>0</v>
      </c>
      <c r="J189" s="70">
        <v>0</v>
      </c>
      <c r="K189" s="70">
        <v>0</v>
      </c>
      <c r="L189" s="71">
        <v>0</v>
      </c>
      <c r="M189" s="71">
        <v>0</v>
      </c>
      <c r="N189" s="71">
        <v>0</v>
      </c>
      <c r="O189" s="71">
        <v>0</v>
      </c>
      <c r="P189" s="70">
        <v>1.4999999999999999E-2</v>
      </c>
      <c r="Q189" s="70">
        <v>1.2E-2</v>
      </c>
      <c r="R189" s="70">
        <v>1.7999999999999999E-2</v>
      </c>
      <c r="S189" s="70">
        <v>1.5000000000000062E-6</v>
      </c>
      <c r="T189" s="71">
        <v>0</v>
      </c>
      <c r="U189" s="71">
        <v>0</v>
      </c>
      <c r="V189" s="71">
        <v>0</v>
      </c>
      <c r="W189" s="71">
        <v>0</v>
      </c>
      <c r="X189" s="70">
        <v>0</v>
      </c>
      <c r="Y189" s="70">
        <v>0</v>
      </c>
      <c r="Z189" s="70">
        <v>0</v>
      </c>
      <c r="AA189" s="70">
        <v>0</v>
      </c>
      <c r="AB189" s="71">
        <v>0</v>
      </c>
      <c r="AC189" s="71">
        <v>0</v>
      </c>
      <c r="AD189" s="71">
        <v>0</v>
      </c>
      <c r="AE189" s="71">
        <v>0</v>
      </c>
      <c r="AF189" s="70">
        <v>0</v>
      </c>
      <c r="AG189" s="70">
        <v>0</v>
      </c>
      <c r="AH189" s="70">
        <v>0</v>
      </c>
      <c r="AI189" s="70">
        <v>0</v>
      </c>
      <c r="AJ189" s="72" t="s">
        <v>478</v>
      </c>
    </row>
    <row r="190" spans="1:36" customFormat="1" x14ac:dyDescent="0.25">
      <c r="A190" s="68">
        <v>184</v>
      </c>
      <c r="B190" s="69" t="s">
        <v>238</v>
      </c>
      <c r="C190" s="69" t="s">
        <v>619</v>
      </c>
      <c r="D190" s="69" t="s">
        <v>627</v>
      </c>
      <c r="E190" s="69" t="s">
        <v>628</v>
      </c>
      <c r="F190" s="69" t="s">
        <v>607</v>
      </c>
      <c r="G190" s="69" t="s">
        <v>237</v>
      </c>
      <c r="H190" s="70">
        <v>0</v>
      </c>
      <c r="I190" s="70">
        <v>0</v>
      </c>
      <c r="J190" s="70">
        <v>0</v>
      </c>
      <c r="K190" s="70">
        <v>0</v>
      </c>
      <c r="L190" s="71">
        <v>0</v>
      </c>
      <c r="M190" s="71">
        <v>0</v>
      </c>
      <c r="N190" s="71">
        <v>0</v>
      </c>
      <c r="O190" s="71">
        <v>0</v>
      </c>
      <c r="P190" s="70">
        <v>0.37</v>
      </c>
      <c r="Q190" s="70">
        <v>0.29599999999999999</v>
      </c>
      <c r="R190" s="70">
        <v>0.44400000000000001</v>
      </c>
      <c r="S190" s="70">
        <v>9.1266666666666807E-4</v>
      </c>
      <c r="T190" s="71">
        <v>0</v>
      </c>
      <c r="U190" s="71">
        <v>0</v>
      </c>
      <c r="V190" s="71">
        <v>0</v>
      </c>
      <c r="W190" s="71">
        <v>0</v>
      </c>
      <c r="X190" s="70">
        <v>0</v>
      </c>
      <c r="Y190" s="70">
        <v>0</v>
      </c>
      <c r="Z190" s="70">
        <v>0</v>
      </c>
      <c r="AA190" s="70">
        <v>0</v>
      </c>
      <c r="AB190" s="71">
        <v>0</v>
      </c>
      <c r="AC190" s="71">
        <v>0</v>
      </c>
      <c r="AD190" s="71">
        <v>0</v>
      </c>
      <c r="AE190" s="71">
        <v>0</v>
      </c>
      <c r="AF190" s="70">
        <v>0</v>
      </c>
      <c r="AG190" s="70">
        <v>0</v>
      </c>
      <c r="AH190" s="70">
        <v>0</v>
      </c>
      <c r="AI190" s="70">
        <v>0</v>
      </c>
      <c r="AJ190" s="72" t="s">
        <v>478</v>
      </c>
    </row>
    <row r="191" spans="1:36" customFormat="1" x14ac:dyDescent="0.25">
      <c r="A191" s="68">
        <v>185</v>
      </c>
      <c r="B191" s="69" t="s">
        <v>238</v>
      </c>
      <c r="C191" s="69" t="s">
        <v>619</v>
      </c>
      <c r="D191" s="69" t="s">
        <v>629</v>
      </c>
      <c r="E191" s="69" t="s">
        <v>630</v>
      </c>
      <c r="F191" s="69" t="s">
        <v>607</v>
      </c>
      <c r="G191" s="69" t="s">
        <v>237</v>
      </c>
      <c r="H191" s="70">
        <v>0</v>
      </c>
      <c r="I191" s="70">
        <v>0</v>
      </c>
      <c r="J191" s="70">
        <v>0</v>
      </c>
      <c r="K191" s="70">
        <v>0</v>
      </c>
      <c r="L191" s="71">
        <v>0</v>
      </c>
      <c r="M191" s="71">
        <v>0</v>
      </c>
      <c r="N191" s="71">
        <v>0</v>
      </c>
      <c r="O191" s="71">
        <v>0</v>
      </c>
      <c r="P191" s="70">
        <v>0.28999999999999998</v>
      </c>
      <c r="Q191" s="70">
        <v>0.23199999999999998</v>
      </c>
      <c r="R191" s="70">
        <v>0.34799999999999998</v>
      </c>
      <c r="S191" s="70">
        <v>5.606666666666684E-4</v>
      </c>
      <c r="T191" s="71">
        <v>0</v>
      </c>
      <c r="U191" s="71">
        <v>0</v>
      </c>
      <c r="V191" s="71">
        <v>0</v>
      </c>
      <c r="W191" s="71">
        <v>0</v>
      </c>
      <c r="X191" s="70">
        <v>0</v>
      </c>
      <c r="Y191" s="70">
        <v>0</v>
      </c>
      <c r="Z191" s="70">
        <v>0</v>
      </c>
      <c r="AA191" s="70">
        <v>0</v>
      </c>
      <c r="AB191" s="71">
        <v>0</v>
      </c>
      <c r="AC191" s="71">
        <v>0</v>
      </c>
      <c r="AD191" s="71">
        <v>0</v>
      </c>
      <c r="AE191" s="71">
        <v>0</v>
      </c>
      <c r="AF191" s="70">
        <v>0</v>
      </c>
      <c r="AG191" s="70">
        <v>0</v>
      </c>
      <c r="AH191" s="70">
        <v>0</v>
      </c>
      <c r="AI191" s="70">
        <v>0</v>
      </c>
      <c r="AJ191" s="72" t="s">
        <v>478</v>
      </c>
    </row>
    <row r="192" spans="1:36" customFormat="1" x14ac:dyDescent="0.25">
      <c r="A192" s="68">
        <v>186</v>
      </c>
      <c r="B192" s="69" t="s">
        <v>238</v>
      </c>
      <c r="C192" s="69" t="s">
        <v>619</v>
      </c>
      <c r="D192" s="69" t="s">
        <v>631</v>
      </c>
      <c r="E192" s="69" t="s">
        <v>632</v>
      </c>
      <c r="F192" s="69" t="s">
        <v>613</v>
      </c>
      <c r="G192" s="69" t="s">
        <v>237</v>
      </c>
      <c r="H192" s="70">
        <v>0</v>
      </c>
      <c r="I192" s="70">
        <v>0</v>
      </c>
      <c r="J192" s="70">
        <v>0</v>
      </c>
      <c r="K192" s="70">
        <v>0</v>
      </c>
      <c r="L192" s="71">
        <v>0</v>
      </c>
      <c r="M192" s="71">
        <v>0</v>
      </c>
      <c r="N192" s="71">
        <v>0</v>
      </c>
      <c r="O192" s="71">
        <v>0</v>
      </c>
      <c r="P192" s="70">
        <v>0.38888888888888884</v>
      </c>
      <c r="Q192" s="70">
        <v>0.31111111111111106</v>
      </c>
      <c r="R192" s="70">
        <v>0.46666666666666662</v>
      </c>
      <c r="S192" s="70">
        <v>1.0082304526748979E-3</v>
      </c>
      <c r="T192" s="71">
        <v>0</v>
      </c>
      <c r="U192" s="71">
        <v>0</v>
      </c>
      <c r="V192" s="71">
        <v>0</v>
      </c>
      <c r="W192" s="71">
        <v>0</v>
      </c>
      <c r="X192" s="70">
        <v>0</v>
      </c>
      <c r="Y192" s="70">
        <v>0</v>
      </c>
      <c r="Z192" s="70">
        <v>0</v>
      </c>
      <c r="AA192" s="70">
        <v>0</v>
      </c>
      <c r="AB192" s="71">
        <v>0</v>
      </c>
      <c r="AC192" s="71">
        <v>0</v>
      </c>
      <c r="AD192" s="71">
        <v>0</v>
      </c>
      <c r="AE192" s="71">
        <v>0</v>
      </c>
      <c r="AF192" s="70">
        <v>0</v>
      </c>
      <c r="AG192" s="70">
        <v>0</v>
      </c>
      <c r="AH192" s="70">
        <v>0</v>
      </c>
      <c r="AI192" s="70">
        <v>0</v>
      </c>
      <c r="AJ192" s="72" t="s">
        <v>478</v>
      </c>
    </row>
    <row r="193" spans="1:36" customFormat="1" x14ac:dyDescent="0.25">
      <c r="A193" s="68">
        <v>187</v>
      </c>
      <c r="B193" s="69" t="s">
        <v>238</v>
      </c>
      <c r="C193" s="69" t="s">
        <v>619</v>
      </c>
      <c r="D193" s="69" t="s">
        <v>633</v>
      </c>
      <c r="E193" s="69" t="s">
        <v>634</v>
      </c>
      <c r="F193" s="69" t="s">
        <v>613</v>
      </c>
      <c r="G193" s="69" t="s">
        <v>237</v>
      </c>
      <c r="H193" s="70">
        <v>0</v>
      </c>
      <c r="I193" s="70">
        <v>0</v>
      </c>
      <c r="J193" s="70">
        <v>0</v>
      </c>
      <c r="K193" s="70">
        <v>0</v>
      </c>
      <c r="L193" s="71">
        <v>0</v>
      </c>
      <c r="M193" s="71">
        <v>0</v>
      </c>
      <c r="N193" s="71">
        <v>0</v>
      </c>
      <c r="O193" s="71">
        <v>0</v>
      </c>
      <c r="P193" s="70">
        <v>0.09</v>
      </c>
      <c r="Q193" s="70">
        <v>7.1999999999999995E-2</v>
      </c>
      <c r="R193" s="70">
        <v>0.108</v>
      </c>
      <c r="S193" s="70">
        <v>5.4000000000000032E-5</v>
      </c>
      <c r="T193" s="71">
        <v>0</v>
      </c>
      <c r="U193" s="71">
        <v>0</v>
      </c>
      <c r="V193" s="71">
        <v>0</v>
      </c>
      <c r="W193" s="71">
        <v>0</v>
      </c>
      <c r="X193" s="70">
        <v>0</v>
      </c>
      <c r="Y193" s="70">
        <v>0</v>
      </c>
      <c r="Z193" s="70">
        <v>0</v>
      </c>
      <c r="AA193" s="70">
        <v>0</v>
      </c>
      <c r="AB193" s="71">
        <v>0</v>
      </c>
      <c r="AC193" s="71">
        <v>0</v>
      </c>
      <c r="AD193" s="71">
        <v>0</v>
      </c>
      <c r="AE193" s="71">
        <v>0</v>
      </c>
      <c r="AF193" s="70">
        <v>0</v>
      </c>
      <c r="AG193" s="70">
        <v>0</v>
      </c>
      <c r="AH193" s="70">
        <v>0</v>
      </c>
      <c r="AI193" s="70">
        <v>0</v>
      </c>
      <c r="AJ193" s="72" t="s">
        <v>478</v>
      </c>
    </row>
    <row r="194" spans="1:36" customFormat="1" x14ac:dyDescent="0.25">
      <c r="A194" s="68">
        <v>188</v>
      </c>
      <c r="B194" s="69" t="s">
        <v>238</v>
      </c>
      <c r="C194" s="69" t="s">
        <v>635</v>
      </c>
      <c r="D194" s="69" t="s">
        <v>636</v>
      </c>
      <c r="E194" s="69" t="s">
        <v>915</v>
      </c>
      <c r="F194" s="69" t="s">
        <v>581</v>
      </c>
      <c r="G194" s="69" t="s">
        <v>237</v>
      </c>
      <c r="H194" s="70">
        <v>0</v>
      </c>
      <c r="I194" s="70">
        <v>0</v>
      </c>
      <c r="J194" s="70">
        <v>0</v>
      </c>
      <c r="K194" s="70">
        <v>0</v>
      </c>
      <c r="L194" s="71">
        <v>0</v>
      </c>
      <c r="M194" s="71">
        <v>0</v>
      </c>
      <c r="N194" s="71">
        <v>0</v>
      </c>
      <c r="O194" s="71">
        <v>0</v>
      </c>
      <c r="P194" s="70">
        <v>0</v>
      </c>
      <c r="Q194" s="70">
        <v>0</v>
      </c>
      <c r="R194" s="70">
        <v>0</v>
      </c>
      <c r="S194" s="70">
        <v>0</v>
      </c>
      <c r="T194" s="71">
        <v>0</v>
      </c>
      <c r="U194" s="71">
        <v>0</v>
      </c>
      <c r="V194" s="71">
        <v>0</v>
      </c>
      <c r="W194" s="71">
        <v>0</v>
      </c>
      <c r="X194" s="70">
        <v>0</v>
      </c>
      <c r="Y194" s="70">
        <v>0</v>
      </c>
      <c r="Z194" s="70">
        <v>0</v>
      </c>
      <c r="AA194" s="70">
        <v>0</v>
      </c>
      <c r="AB194" s="71">
        <v>0</v>
      </c>
      <c r="AC194" s="71">
        <v>0</v>
      </c>
      <c r="AD194" s="71">
        <v>0</v>
      </c>
      <c r="AE194" s="71">
        <v>0</v>
      </c>
      <c r="AF194" s="70">
        <v>0</v>
      </c>
      <c r="AG194" s="70">
        <v>0</v>
      </c>
      <c r="AH194" s="70">
        <v>0</v>
      </c>
      <c r="AI194" s="70">
        <v>0</v>
      </c>
      <c r="AJ194" s="72" t="s">
        <v>478</v>
      </c>
    </row>
    <row r="195" spans="1:36" customFormat="1" x14ac:dyDescent="0.25">
      <c r="A195" s="68">
        <v>189</v>
      </c>
      <c r="B195" s="69" t="s">
        <v>238</v>
      </c>
      <c r="C195" s="69" t="s">
        <v>635</v>
      </c>
      <c r="D195" s="69" t="s">
        <v>637</v>
      </c>
      <c r="E195" s="69" t="s">
        <v>638</v>
      </c>
      <c r="F195" s="69" t="s">
        <v>639</v>
      </c>
      <c r="G195" s="69" t="s">
        <v>237</v>
      </c>
      <c r="H195" s="70">
        <v>0</v>
      </c>
      <c r="I195" s="70">
        <v>0</v>
      </c>
      <c r="J195" s="70">
        <v>0</v>
      </c>
      <c r="K195" s="70">
        <v>0</v>
      </c>
      <c r="L195" s="71">
        <v>0</v>
      </c>
      <c r="M195" s="71">
        <v>0</v>
      </c>
      <c r="N195" s="71">
        <v>0</v>
      </c>
      <c r="O195" s="71">
        <v>0</v>
      </c>
      <c r="P195" s="70">
        <v>0</v>
      </c>
      <c r="Q195" s="70">
        <v>0</v>
      </c>
      <c r="R195" s="70">
        <v>0</v>
      </c>
      <c r="S195" s="70">
        <v>0</v>
      </c>
      <c r="T195" s="71">
        <v>0</v>
      </c>
      <c r="U195" s="71">
        <v>0</v>
      </c>
      <c r="V195" s="71">
        <v>0</v>
      </c>
      <c r="W195" s="71">
        <v>0</v>
      </c>
      <c r="X195" s="70">
        <v>0</v>
      </c>
      <c r="Y195" s="70">
        <v>0</v>
      </c>
      <c r="Z195" s="70">
        <v>0</v>
      </c>
      <c r="AA195" s="70">
        <v>0</v>
      </c>
      <c r="AB195" s="71">
        <v>0</v>
      </c>
      <c r="AC195" s="71">
        <v>0</v>
      </c>
      <c r="AD195" s="71">
        <v>0</v>
      </c>
      <c r="AE195" s="71">
        <v>0</v>
      </c>
      <c r="AF195" s="70">
        <v>0</v>
      </c>
      <c r="AG195" s="70">
        <v>0</v>
      </c>
      <c r="AH195" s="70">
        <v>0</v>
      </c>
      <c r="AI195" s="70">
        <v>0</v>
      </c>
      <c r="AJ195" s="72" t="s">
        <v>478</v>
      </c>
    </row>
    <row r="196" spans="1:36" customFormat="1" x14ac:dyDescent="0.25">
      <c r="A196" s="68">
        <v>190</v>
      </c>
      <c r="B196" s="69" t="s">
        <v>238</v>
      </c>
      <c r="C196" s="69" t="s">
        <v>635</v>
      </c>
      <c r="D196" s="69" t="s">
        <v>640</v>
      </c>
      <c r="E196" s="69" t="s">
        <v>918</v>
      </c>
      <c r="F196" s="69" t="s">
        <v>641</v>
      </c>
      <c r="G196" s="69" t="s">
        <v>237</v>
      </c>
      <c r="H196" s="70">
        <v>0</v>
      </c>
      <c r="I196" s="70">
        <v>0</v>
      </c>
      <c r="J196" s="70">
        <v>0</v>
      </c>
      <c r="K196" s="70">
        <v>0</v>
      </c>
      <c r="L196" s="71">
        <v>6.0324825986078886E-3</v>
      </c>
      <c r="M196" s="71">
        <v>0</v>
      </c>
      <c r="N196" s="71">
        <v>0</v>
      </c>
      <c r="O196" s="71">
        <v>2.0217136834726103E-6</v>
      </c>
      <c r="P196" s="70">
        <v>0</v>
      </c>
      <c r="Q196" s="70">
        <v>0</v>
      </c>
      <c r="R196" s="70">
        <v>0</v>
      </c>
      <c r="S196" s="70">
        <v>0</v>
      </c>
      <c r="T196" s="71">
        <v>6.0324825986078886E-3</v>
      </c>
      <c r="U196" s="71">
        <v>4.8259860788863107E-3</v>
      </c>
      <c r="V196" s="71">
        <v>7.2389791183294664E-3</v>
      </c>
      <c r="W196" s="71">
        <v>2.4260564201671397E-7</v>
      </c>
      <c r="X196" s="70">
        <v>6.0324825986078886E-3</v>
      </c>
      <c r="Y196" s="70">
        <v>4.8259860788863107E-3</v>
      </c>
      <c r="Z196" s="70">
        <v>7.2389791183294664E-3</v>
      </c>
      <c r="AA196" s="70">
        <v>2.4260564201671397E-7</v>
      </c>
      <c r="AB196" s="71">
        <v>0</v>
      </c>
      <c r="AC196" s="71">
        <v>0</v>
      </c>
      <c r="AD196" s="71">
        <v>0</v>
      </c>
      <c r="AE196" s="71">
        <v>0</v>
      </c>
      <c r="AF196" s="70">
        <v>6.0324825986078886E-3</v>
      </c>
      <c r="AG196" s="70">
        <v>4.8259860788863107E-3</v>
      </c>
      <c r="AH196" s="70">
        <v>7.2389791183294664E-3</v>
      </c>
      <c r="AI196" s="70">
        <v>2.4260564201671397E-7</v>
      </c>
      <c r="AJ196" s="72" t="s">
        <v>478</v>
      </c>
    </row>
    <row r="197" spans="1:36" customFormat="1" x14ac:dyDescent="0.25">
      <c r="A197" s="68">
        <v>191</v>
      </c>
      <c r="B197" s="69" t="s">
        <v>238</v>
      </c>
      <c r="C197" s="69" t="s">
        <v>635</v>
      </c>
      <c r="D197" s="69" t="s">
        <v>642</v>
      </c>
      <c r="E197" s="69" t="s">
        <v>643</v>
      </c>
      <c r="F197" s="69" t="s">
        <v>529</v>
      </c>
      <c r="G197" s="69" t="s">
        <v>237</v>
      </c>
      <c r="H197" s="70">
        <v>0</v>
      </c>
      <c r="I197" s="70">
        <v>0</v>
      </c>
      <c r="J197" s="70">
        <v>0</v>
      </c>
      <c r="K197" s="70">
        <v>0</v>
      </c>
      <c r="L197" s="71">
        <v>4.9497293116782673E-3</v>
      </c>
      <c r="M197" s="71">
        <v>0</v>
      </c>
      <c r="N197" s="71">
        <v>0</v>
      </c>
      <c r="O197" s="71">
        <v>1.3611011254937229E-6</v>
      </c>
      <c r="P197" s="70">
        <v>0</v>
      </c>
      <c r="Q197" s="70">
        <v>0</v>
      </c>
      <c r="R197" s="70">
        <v>0</v>
      </c>
      <c r="S197" s="70">
        <v>0</v>
      </c>
      <c r="T197" s="71">
        <v>4.9497293116782673E-3</v>
      </c>
      <c r="U197" s="71">
        <v>3.959783449342614E-3</v>
      </c>
      <c r="V197" s="71">
        <v>5.9396751740139206E-3</v>
      </c>
      <c r="W197" s="71">
        <v>1.6333213505924663E-7</v>
      </c>
      <c r="X197" s="70">
        <v>4.9497293116782673E-3</v>
      </c>
      <c r="Y197" s="70">
        <v>3.959783449342614E-3</v>
      </c>
      <c r="Z197" s="70">
        <v>5.9396751740139206E-3</v>
      </c>
      <c r="AA197" s="70">
        <v>1.6333213505924663E-7</v>
      </c>
      <c r="AB197" s="71">
        <v>0</v>
      </c>
      <c r="AC197" s="71">
        <v>0</v>
      </c>
      <c r="AD197" s="71">
        <v>0</v>
      </c>
      <c r="AE197" s="71">
        <v>0</v>
      </c>
      <c r="AF197" s="70">
        <v>4.9497293116782673E-3</v>
      </c>
      <c r="AG197" s="70">
        <v>3.959783449342614E-3</v>
      </c>
      <c r="AH197" s="70">
        <v>5.9396751740139206E-3</v>
      </c>
      <c r="AI197" s="70">
        <v>1.6333213505924663E-7</v>
      </c>
      <c r="AJ197" s="72" t="s">
        <v>478</v>
      </c>
    </row>
    <row r="198" spans="1:36" customFormat="1" x14ac:dyDescent="0.25">
      <c r="A198" s="68">
        <v>192</v>
      </c>
      <c r="B198" s="69" t="s">
        <v>238</v>
      </c>
      <c r="C198" s="69" t="s">
        <v>635</v>
      </c>
      <c r="D198" s="69" t="s">
        <v>644</v>
      </c>
      <c r="E198" s="69" t="s">
        <v>645</v>
      </c>
      <c r="F198" s="69" t="s">
        <v>588</v>
      </c>
      <c r="G198" s="69" t="s">
        <v>237</v>
      </c>
      <c r="H198" s="70">
        <v>0</v>
      </c>
      <c r="I198" s="70">
        <v>0</v>
      </c>
      <c r="J198" s="70">
        <v>0</v>
      </c>
      <c r="K198" s="70">
        <v>0</v>
      </c>
      <c r="L198" s="71">
        <v>1.77107501933488E-2</v>
      </c>
      <c r="M198" s="71">
        <v>0</v>
      </c>
      <c r="N198" s="71">
        <v>0</v>
      </c>
      <c r="O198" s="71">
        <v>1.7426148467289141E-5</v>
      </c>
      <c r="P198" s="70">
        <v>0</v>
      </c>
      <c r="Q198" s="70">
        <v>0</v>
      </c>
      <c r="R198" s="70">
        <v>0</v>
      </c>
      <c r="S198" s="70">
        <v>0</v>
      </c>
      <c r="T198" s="71">
        <v>1.77107501933488E-2</v>
      </c>
      <c r="U198" s="71">
        <v>1.416860015467904E-2</v>
      </c>
      <c r="V198" s="71">
        <v>2.1252900232018559E-2</v>
      </c>
      <c r="W198" s="71">
        <v>2.0911378160746957E-6</v>
      </c>
      <c r="X198" s="70">
        <v>1.77107501933488E-2</v>
      </c>
      <c r="Y198" s="70">
        <v>1.416860015467904E-2</v>
      </c>
      <c r="Z198" s="70">
        <v>2.1252900232018559E-2</v>
      </c>
      <c r="AA198" s="70">
        <v>2.0911378160746957E-6</v>
      </c>
      <c r="AB198" s="71">
        <v>0</v>
      </c>
      <c r="AC198" s="71">
        <v>0</v>
      </c>
      <c r="AD198" s="71">
        <v>0</v>
      </c>
      <c r="AE198" s="71">
        <v>0</v>
      </c>
      <c r="AF198" s="70">
        <v>1.77107501933488E-2</v>
      </c>
      <c r="AG198" s="70">
        <v>1.416860015467904E-2</v>
      </c>
      <c r="AH198" s="70">
        <v>2.1252900232018559E-2</v>
      </c>
      <c r="AI198" s="70">
        <v>2.0911378160746957E-6</v>
      </c>
      <c r="AJ198" s="72" t="s">
        <v>478</v>
      </c>
    </row>
    <row r="199" spans="1:36" customFormat="1" x14ac:dyDescent="0.25">
      <c r="A199" s="68">
        <v>193</v>
      </c>
      <c r="B199" s="69" t="s">
        <v>238</v>
      </c>
      <c r="C199" s="69" t="s">
        <v>635</v>
      </c>
      <c r="D199" s="69" t="s">
        <v>646</v>
      </c>
      <c r="E199" s="69" t="s">
        <v>647</v>
      </c>
      <c r="F199" s="69" t="s">
        <v>597</v>
      </c>
      <c r="G199" s="69" t="s">
        <v>237</v>
      </c>
      <c r="H199" s="70">
        <v>0</v>
      </c>
      <c r="I199" s="70">
        <v>0</v>
      </c>
      <c r="J199" s="70">
        <v>0</v>
      </c>
      <c r="K199" s="70">
        <v>0</v>
      </c>
      <c r="L199" s="71">
        <v>3.5104313133012331E-4</v>
      </c>
      <c r="M199" s="71">
        <v>0</v>
      </c>
      <c r="N199" s="71">
        <v>0</v>
      </c>
      <c r="O199" s="71">
        <v>6.8461822252254558E-9</v>
      </c>
      <c r="P199" s="70">
        <v>0</v>
      </c>
      <c r="Q199" s="70">
        <v>0</v>
      </c>
      <c r="R199" s="70">
        <v>0</v>
      </c>
      <c r="S199" s="70">
        <v>0</v>
      </c>
      <c r="T199" s="71">
        <v>3.5104313133012331E-4</v>
      </c>
      <c r="U199" s="71">
        <v>2.8083450506409866E-4</v>
      </c>
      <c r="V199" s="71">
        <v>4.2125175759614796E-4</v>
      </c>
      <c r="W199" s="71">
        <v>8.2154186702705642E-10</v>
      </c>
      <c r="X199" s="70">
        <v>3.5104313133012331E-4</v>
      </c>
      <c r="Y199" s="70">
        <v>2.8083450506409866E-4</v>
      </c>
      <c r="Z199" s="70">
        <v>4.2125175759614796E-4</v>
      </c>
      <c r="AA199" s="70">
        <v>8.2154186702705642E-10</v>
      </c>
      <c r="AB199" s="71">
        <v>0</v>
      </c>
      <c r="AC199" s="71">
        <v>0</v>
      </c>
      <c r="AD199" s="71">
        <v>0</v>
      </c>
      <c r="AE199" s="71">
        <v>0</v>
      </c>
      <c r="AF199" s="70">
        <v>3.5104313133012331E-4</v>
      </c>
      <c r="AG199" s="70">
        <v>2.8083450506409866E-4</v>
      </c>
      <c r="AH199" s="70">
        <v>4.2125175759614796E-4</v>
      </c>
      <c r="AI199" s="70">
        <v>8.2154186702705642E-10</v>
      </c>
      <c r="AJ199" s="72" t="s">
        <v>478</v>
      </c>
    </row>
    <row r="200" spans="1:36" customFormat="1" x14ac:dyDescent="0.25">
      <c r="A200" s="68">
        <v>194</v>
      </c>
      <c r="B200" s="69" t="s">
        <v>238</v>
      </c>
      <c r="C200" s="69" t="s">
        <v>648</v>
      </c>
      <c r="D200" s="69" t="s">
        <v>649</v>
      </c>
      <c r="E200" s="69" t="s">
        <v>916</v>
      </c>
      <c r="F200" s="69" t="s">
        <v>581</v>
      </c>
      <c r="G200" s="69" t="s">
        <v>237</v>
      </c>
      <c r="H200" s="70">
        <v>0</v>
      </c>
      <c r="I200" s="70">
        <v>0</v>
      </c>
      <c r="J200" s="70">
        <v>0</v>
      </c>
      <c r="K200" s="70">
        <v>0</v>
      </c>
      <c r="L200" s="71">
        <v>73000000</v>
      </c>
      <c r="M200" s="71">
        <v>58400000</v>
      </c>
      <c r="N200" s="71">
        <v>87600000</v>
      </c>
      <c r="O200" s="71">
        <v>35526666666666.664</v>
      </c>
      <c r="P200" s="70">
        <v>0</v>
      </c>
      <c r="Q200" s="70">
        <v>0</v>
      </c>
      <c r="R200" s="70">
        <v>0</v>
      </c>
      <c r="S200" s="70">
        <v>0</v>
      </c>
      <c r="T200" s="71">
        <v>0</v>
      </c>
      <c r="U200" s="71">
        <v>0</v>
      </c>
      <c r="V200" s="71">
        <v>0</v>
      </c>
      <c r="W200" s="71">
        <v>0</v>
      </c>
      <c r="X200" s="70">
        <v>0</v>
      </c>
      <c r="Y200" s="70">
        <v>0</v>
      </c>
      <c r="Z200" s="70">
        <v>0</v>
      </c>
      <c r="AA200" s="70">
        <v>0</v>
      </c>
      <c r="AB200" s="71">
        <v>73000000</v>
      </c>
      <c r="AC200" s="71">
        <v>58400000</v>
      </c>
      <c r="AD200" s="71">
        <v>87600000</v>
      </c>
      <c r="AE200" s="71">
        <v>35526666666666.664</v>
      </c>
      <c r="AF200" s="70">
        <v>0</v>
      </c>
      <c r="AG200" s="70">
        <v>0</v>
      </c>
      <c r="AH200" s="70">
        <v>0</v>
      </c>
      <c r="AI200" s="70">
        <v>0</v>
      </c>
      <c r="AJ200" s="72" t="s">
        <v>478</v>
      </c>
    </row>
    <row r="201" spans="1:36" customFormat="1" x14ac:dyDescent="0.25">
      <c r="A201" s="68">
        <v>195</v>
      </c>
      <c r="B201" s="69" t="s">
        <v>238</v>
      </c>
      <c r="C201" s="69" t="s">
        <v>648</v>
      </c>
      <c r="D201" s="69" t="s">
        <v>650</v>
      </c>
      <c r="E201" s="69" t="s">
        <v>651</v>
      </c>
      <c r="F201" s="69" t="s">
        <v>532</v>
      </c>
      <c r="G201" s="69" t="s">
        <v>237</v>
      </c>
      <c r="H201" s="70">
        <v>0</v>
      </c>
      <c r="I201" s="70">
        <v>0</v>
      </c>
      <c r="J201" s="70">
        <v>0</v>
      </c>
      <c r="K201" s="70">
        <v>0</v>
      </c>
      <c r="L201" s="71">
        <v>38016</v>
      </c>
      <c r="M201" s="71">
        <v>30412.799999999999</v>
      </c>
      <c r="N201" s="71">
        <v>45619.199999999997</v>
      </c>
      <c r="O201" s="71">
        <v>9634775.0399999749</v>
      </c>
      <c r="P201" s="70">
        <v>0</v>
      </c>
      <c r="Q201" s="70">
        <v>0</v>
      </c>
      <c r="R201" s="70">
        <v>0</v>
      </c>
      <c r="S201" s="70">
        <v>0</v>
      </c>
      <c r="T201" s="71">
        <v>0</v>
      </c>
      <c r="U201" s="71">
        <v>0</v>
      </c>
      <c r="V201" s="71">
        <v>0</v>
      </c>
      <c r="W201" s="71">
        <v>0</v>
      </c>
      <c r="X201" s="70">
        <v>0</v>
      </c>
      <c r="Y201" s="70">
        <v>0</v>
      </c>
      <c r="Z201" s="70">
        <v>0</v>
      </c>
      <c r="AA201" s="70">
        <v>0</v>
      </c>
      <c r="AB201" s="71">
        <v>38016</v>
      </c>
      <c r="AC201" s="71">
        <v>30412.799999999999</v>
      </c>
      <c r="AD201" s="71">
        <v>45619.199999999997</v>
      </c>
      <c r="AE201" s="71">
        <v>9634775.0399999749</v>
      </c>
      <c r="AF201" s="70">
        <v>0</v>
      </c>
      <c r="AG201" s="70">
        <v>0</v>
      </c>
      <c r="AH201" s="70">
        <v>0</v>
      </c>
      <c r="AI201" s="70">
        <v>0</v>
      </c>
      <c r="AJ201" s="72" t="s">
        <v>478</v>
      </c>
    </row>
    <row r="202" spans="1:36" customFormat="1" x14ac:dyDescent="0.25">
      <c r="A202" s="68">
        <v>196</v>
      </c>
      <c r="B202" s="69" t="s">
        <v>238</v>
      </c>
      <c r="C202" s="69" t="s">
        <v>648</v>
      </c>
      <c r="D202" s="69" t="s">
        <v>652</v>
      </c>
      <c r="E202" s="69" t="s">
        <v>653</v>
      </c>
      <c r="F202" s="69" t="s">
        <v>529</v>
      </c>
      <c r="G202" s="69" t="s">
        <v>237</v>
      </c>
      <c r="H202" s="70">
        <v>0</v>
      </c>
      <c r="I202" s="70">
        <v>0</v>
      </c>
      <c r="J202" s="70">
        <v>0</v>
      </c>
      <c r="K202" s="70">
        <v>0</v>
      </c>
      <c r="L202" s="71">
        <v>0</v>
      </c>
      <c r="M202" s="71">
        <v>0</v>
      </c>
      <c r="N202" s="71">
        <v>0</v>
      </c>
      <c r="O202" s="71">
        <v>0</v>
      </c>
      <c r="P202" s="70">
        <v>0</v>
      </c>
      <c r="Q202" s="70">
        <v>0</v>
      </c>
      <c r="R202" s="70">
        <v>0</v>
      </c>
      <c r="S202" s="70">
        <v>0</v>
      </c>
      <c r="T202" s="71">
        <v>0</v>
      </c>
      <c r="U202" s="71">
        <v>0</v>
      </c>
      <c r="V202" s="71">
        <v>0</v>
      </c>
      <c r="W202" s="71">
        <v>0</v>
      </c>
      <c r="X202" s="70">
        <v>0</v>
      </c>
      <c r="Y202" s="70">
        <v>0</v>
      </c>
      <c r="Z202" s="70">
        <v>0</v>
      </c>
      <c r="AA202" s="70">
        <v>0</v>
      </c>
      <c r="AB202" s="71">
        <v>0</v>
      </c>
      <c r="AC202" s="71">
        <v>0</v>
      </c>
      <c r="AD202" s="71">
        <v>0</v>
      </c>
      <c r="AE202" s="71">
        <v>0</v>
      </c>
      <c r="AF202" s="70">
        <v>0</v>
      </c>
      <c r="AG202" s="70">
        <v>0</v>
      </c>
      <c r="AH202" s="70">
        <v>0</v>
      </c>
      <c r="AI202" s="70">
        <v>0</v>
      </c>
      <c r="AJ202" s="72" t="s">
        <v>478</v>
      </c>
    </row>
    <row r="203" spans="1:36" customFormat="1" x14ac:dyDescent="0.25">
      <c r="A203" s="68">
        <v>197</v>
      </c>
      <c r="B203" s="69" t="s">
        <v>238</v>
      </c>
      <c r="C203" s="69" t="s">
        <v>648</v>
      </c>
      <c r="D203" s="69" t="s">
        <v>654</v>
      </c>
      <c r="E203" s="69" t="s">
        <v>919</v>
      </c>
      <c r="F203" s="69" t="s">
        <v>588</v>
      </c>
      <c r="G203" s="69" t="s">
        <v>237</v>
      </c>
      <c r="H203" s="70">
        <v>0</v>
      </c>
      <c r="I203" s="70">
        <v>0</v>
      </c>
      <c r="J203" s="70">
        <v>0</v>
      </c>
      <c r="K203" s="70">
        <v>0</v>
      </c>
      <c r="L203" s="71">
        <v>6.3E-3</v>
      </c>
      <c r="M203" s="71">
        <v>5.0400000000000002E-3</v>
      </c>
      <c r="N203" s="71">
        <v>7.5599999999999999E-3</v>
      </c>
      <c r="O203" s="71">
        <v>2.6459999999999966E-7</v>
      </c>
      <c r="P203" s="70">
        <v>0</v>
      </c>
      <c r="Q203" s="70">
        <v>0</v>
      </c>
      <c r="R203" s="70">
        <v>0</v>
      </c>
      <c r="S203" s="70">
        <v>0</v>
      </c>
      <c r="T203" s="71">
        <v>0</v>
      </c>
      <c r="U203" s="71">
        <v>0</v>
      </c>
      <c r="V203" s="71">
        <v>0</v>
      </c>
      <c r="W203" s="71">
        <v>0</v>
      </c>
      <c r="X203" s="70">
        <v>0</v>
      </c>
      <c r="Y203" s="70">
        <v>0</v>
      </c>
      <c r="Z203" s="70">
        <v>0</v>
      </c>
      <c r="AA203" s="70">
        <v>0</v>
      </c>
      <c r="AB203" s="71">
        <v>6.3E-3</v>
      </c>
      <c r="AC203" s="71">
        <v>5.0400000000000002E-3</v>
      </c>
      <c r="AD203" s="71">
        <v>7.5599999999999999E-3</v>
      </c>
      <c r="AE203" s="71">
        <v>2.6459999999999966E-7</v>
      </c>
      <c r="AF203" s="70">
        <v>0</v>
      </c>
      <c r="AG203" s="70">
        <v>0</v>
      </c>
      <c r="AH203" s="70">
        <v>0</v>
      </c>
      <c r="AI203" s="70">
        <v>0</v>
      </c>
      <c r="AJ203" s="72" t="s">
        <v>478</v>
      </c>
    </row>
    <row r="204" spans="1:36" customFormat="1" x14ac:dyDescent="0.25">
      <c r="A204" s="68">
        <v>198</v>
      </c>
      <c r="B204" s="69" t="s">
        <v>238</v>
      </c>
      <c r="C204" s="69" t="s">
        <v>648</v>
      </c>
      <c r="D204" s="69" t="s">
        <v>655</v>
      </c>
      <c r="E204" s="69" t="s">
        <v>656</v>
      </c>
      <c r="F204" s="69" t="s">
        <v>597</v>
      </c>
      <c r="G204" s="69" t="s">
        <v>237</v>
      </c>
      <c r="H204" s="70">
        <v>0</v>
      </c>
      <c r="I204" s="70">
        <v>0</v>
      </c>
      <c r="J204" s="70">
        <v>0</v>
      </c>
      <c r="K204" s="70">
        <v>0</v>
      </c>
      <c r="L204" s="71">
        <v>9.2544815992276843E-4</v>
      </c>
      <c r="M204" s="71">
        <v>7.4035852793821473E-4</v>
      </c>
      <c r="N204" s="71">
        <v>1.1105377919073223E-3</v>
      </c>
      <c r="O204" s="71">
        <v>5.7096953113629089E-9</v>
      </c>
      <c r="P204" s="70">
        <v>0</v>
      </c>
      <c r="Q204" s="70">
        <v>0</v>
      </c>
      <c r="R204" s="70">
        <v>0</v>
      </c>
      <c r="S204" s="70">
        <v>0</v>
      </c>
      <c r="T204" s="71">
        <v>0</v>
      </c>
      <c r="U204" s="71">
        <v>0</v>
      </c>
      <c r="V204" s="71">
        <v>0</v>
      </c>
      <c r="W204" s="71">
        <v>0</v>
      </c>
      <c r="X204" s="70">
        <v>0</v>
      </c>
      <c r="Y204" s="70">
        <v>0</v>
      </c>
      <c r="Z204" s="70">
        <v>0</v>
      </c>
      <c r="AA204" s="70">
        <v>0</v>
      </c>
      <c r="AB204" s="71">
        <v>9.2544815992276843E-4</v>
      </c>
      <c r="AC204" s="71">
        <v>7.4035852793821473E-4</v>
      </c>
      <c r="AD204" s="71">
        <v>1.1105377919073223E-3</v>
      </c>
      <c r="AE204" s="71">
        <v>5.7096953113629089E-9</v>
      </c>
      <c r="AF204" s="70">
        <v>0</v>
      </c>
      <c r="AG204" s="70">
        <v>0</v>
      </c>
      <c r="AH204" s="70">
        <v>0</v>
      </c>
      <c r="AI204" s="70">
        <v>0</v>
      </c>
      <c r="AJ204" s="72" t="s">
        <v>478</v>
      </c>
    </row>
    <row r="205" spans="1:36" customFormat="1" x14ac:dyDescent="0.25">
      <c r="A205" s="68">
        <v>199</v>
      </c>
      <c r="B205" s="69" t="s">
        <v>238</v>
      </c>
      <c r="C205" s="69" t="s">
        <v>246</v>
      </c>
      <c r="D205" s="69" t="s">
        <v>657</v>
      </c>
      <c r="E205" s="69" t="s">
        <v>248</v>
      </c>
      <c r="F205" s="69" t="s">
        <v>249</v>
      </c>
      <c r="G205" s="69" t="s">
        <v>237</v>
      </c>
      <c r="H205" s="70">
        <v>97.948760563380276</v>
      </c>
      <c r="I205" s="70">
        <v>78.359008450704223</v>
      </c>
      <c r="J205" s="70">
        <v>100</v>
      </c>
      <c r="K205" s="70">
        <v>23.78606906386489</v>
      </c>
      <c r="L205" s="71">
        <v>0</v>
      </c>
      <c r="M205" s="71">
        <v>0</v>
      </c>
      <c r="N205" s="71">
        <v>0</v>
      </c>
      <c r="O205" s="71">
        <v>0</v>
      </c>
      <c r="P205" s="70">
        <v>100</v>
      </c>
      <c r="Q205" s="70">
        <v>80</v>
      </c>
      <c r="R205" s="70">
        <v>100</v>
      </c>
      <c r="S205" s="70">
        <v>22.222222222222221</v>
      </c>
      <c r="T205" s="71">
        <v>100</v>
      </c>
      <c r="U205" s="71">
        <v>80</v>
      </c>
      <c r="V205" s="71">
        <v>100</v>
      </c>
      <c r="W205" s="71">
        <v>22.222222222222221</v>
      </c>
      <c r="X205" s="70">
        <v>100</v>
      </c>
      <c r="Y205" s="70">
        <v>80</v>
      </c>
      <c r="Z205" s="70">
        <v>100</v>
      </c>
      <c r="AA205" s="70">
        <v>22.222222222222221</v>
      </c>
      <c r="AB205" s="71">
        <v>50</v>
      </c>
      <c r="AC205" s="71">
        <v>40</v>
      </c>
      <c r="AD205" s="71">
        <v>60</v>
      </c>
      <c r="AE205" s="71">
        <v>16.666666666666664</v>
      </c>
      <c r="AF205" s="70">
        <v>0</v>
      </c>
      <c r="AG205" s="70">
        <v>0</v>
      </c>
      <c r="AH205" s="70">
        <v>0</v>
      </c>
      <c r="AI205" s="70">
        <v>0</v>
      </c>
      <c r="AJ205" s="72" t="s">
        <v>478</v>
      </c>
    </row>
    <row r="206" spans="1:36" customFormat="1" x14ac:dyDescent="0.25">
      <c r="A206" s="68">
        <v>200</v>
      </c>
      <c r="B206" s="69" t="s">
        <v>238</v>
      </c>
      <c r="C206" s="69" t="s">
        <v>246</v>
      </c>
      <c r="D206" s="69" t="s">
        <v>658</v>
      </c>
      <c r="E206" s="69" t="s">
        <v>248</v>
      </c>
      <c r="F206" s="69" t="s">
        <v>249</v>
      </c>
      <c r="G206" s="69" t="s">
        <v>237</v>
      </c>
      <c r="H206" s="70">
        <v>85.44</v>
      </c>
      <c r="I206" s="70">
        <v>68.352000000000004</v>
      </c>
      <c r="J206" s="70">
        <v>100</v>
      </c>
      <c r="K206" s="70">
        <v>41.821923555555358</v>
      </c>
      <c r="L206" s="71">
        <v>0</v>
      </c>
      <c r="M206" s="71">
        <v>0</v>
      </c>
      <c r="N206" s="71">
        <v>0</v>
      </c>
      <c r="O206" s="71">
        <v>0</v>
      </c>
      <c r="P206" s="70">
        <v>0</v>
      </c>
      <c r="Q206" s="70">
        <v>0</v>
      </c>
      <c r="R206" s="70">
        <v>0</v>
      </c>
      <c r="S206" s="70">
        <v>0</v>
      </c>
      <c r="T206" s="71">
        <v>0</v>
      </c>
      <c r="U206" s="71">
        <v>0</v>
      </c>
      <c r="V206" s="71">
        <v>0</v>
      </c>
      <c r="W206" s="71">
        <v>0</v>
      </c>
      <c r="X206" s="70">
        <v>0</v>
      </c>
      <c r="Y206" s="70">
        <v>0</v>
      </c>
      <c r="Z206" s="70">
        <v>0</v>
      </c>
      <c r="AA206" s="70">
        <v>0</v>
      </c>
      <c r="AB206" s="71">
        <v>0</v>
      </c>
      <c r="AC206" s="71">
        <v>0</v>
      </c>
      <c r="AD206" s="71">
        <v>0</v>
      </c>
      <c r="AE206" s="71">
        <v>0</v>
      </c>
      <c r="AF206" s="70">
        <v>0</v>
      </c>
      <c r="AG206" s="70">
        <v>0</v>
      </c>
      <c r="AH206" s="70">
        <v>0</v>
      </c>
      <c r="AI206" s="70">
        <v>0</v>
      </c>
      <c r="AJ206" s="72" t="s">
        <v>478</v>
      </c>
    </row>
    <row r="207" spans="1:36" customFormat="1" x14ac:dyDescent="0.25">
      <c r="A207" s="68">
        <v>201</v>
      </c>
      <c r="B207" s="69" t="s">
        <v>238</v>
      </c>
      <c r="C207" s="69" t="s">
        <v>246</v>
      </c>
      <c r="D207" s="69" t="s">
        <v>659</v>
      </c>
      <c r="E207" s="69" t="s">
        <v>248</v>
      </c>
      <c r="F207" s="69" t="s">
        <v>249</v>
      </c>
      <c r="G207" s="69" t="s">
        <v>237</v>
      </c>
      <c r="H207" s="70">
        <v>97.948760563380276</v>
      </c>
      <c r="I207" s="70">
        <v>78.359008450704223</v>
      </c>
      <c r="J207" s="70">
        <v>100</v>
      </c>
      <c r="K207" s="70">
        <v>23.78606906386489</v>
      </c>
      <c r="L207" s="71">
        <v>0</v>
      </c>
      <c r="M207" s="71">
        <v>0</v>
      </c>
      <c r="N207" s="71">
        <v>0</v>
      </c>
      <c r="O207" s="71">
        <v>0</v>
      </c>
      <c r="P207" s="70">
        <v>0</v>
      </c>
      <c r="Q207" s="70">
        <v>0</v>
      </c>
      <c r="R207" s="70">
        <v>0</v>
      </c>
      <c r="S207" s="70">
        <v>0</v>
      </c>
      <c r="T207" s="71">
        <v>0</v>
      </c>
      <c r="U207" s="71">
        <v>0</v>
      </c>
      <c r="V207" s="71">
        <v>0</v>
      </c>
      <c r="W207" s="71">
        <v>0</v>
      </c>
      <c r="X207" s="70">
        <v>0</v>
      </c>
      <c r="Y207" s="70">
        <v>0</v>
      </c>
      <c r="Z207" s="70">
        <v>0</v>
      </c>
      <c r="AA207" s="70">
        <v>0</v>
      </c>
      <c r="AB207" s="71">
        <v>0</v>
      </c>
      <c r="AC207" s="71">
        <v>0</v>
      </c>
      <c r="AD207" s="71">
        <v>0</v>
      </c>
      <c r="AE207" s="71">
        <v>0</v>
      </c>
      <c r="AF207" s="70">
        <v>0</v>
      </c>
      <c r="AG207" s="70">
        <v>0</v>
      </c>
      <c r="AH207" s="70">
        <v>0</v>
      </c>
      <c r="AI207" s="70">
        <v>0</v>
      </c>
      <c r="AJ207" s="72" t="s">
        <v>478</v>
      </c>
    </row>
    <row r="208" spans="1:36" customFormat="1" x14ac:dyDescent="0.25">
      <c r="A208" s="68">
        <v>202</v>
      </c>
      <c r="B208" s="69" t="s">
        <v>238</v>
      </c>
      <c r="C208" s="69" t="s">
        <v>246</v>
      </c>
      <c r="D208" s="69" t="s">
        <v>660</v>
      </c>
      <c r="E208" s="69" t="s">
        <v>248</v>
      </c>
      <c r="F208" s="69" t="s">
        <v>249</v>
      </c>
      <c r="G208" s="69" t="s">
        <v>237</v>
      </c>
      <c r="H208" s="70">
        <v>97.948760563380276</v>
      </c>
      <c r="I208" s="70">
        <v>78.359008450704223</v>
      </c>
      <c r="J208" s="70">
        <v>100</v>
      </c>
      <c r="K208" s="70">
        <v>23.78606906386489</v>
      </c>
      <c r="L208" s="71">
        <v>100</v>
      </c>
      <c r="M208" s="71">
        <v>80</v>
      </c>
      <c r="N208" s="71">
        <v>100</v>
      </c>
      <c r="O208" s="71">
        <v>22.222222222222221</v>
      </c>
      <c r="P208" s="70">
        <v>0</v>
      </c>
      <c r="Q208" s="70">
        <v>0</v>
      </c>
      <c r="R208" s="70">
        <v>0</v>
      </c>
      <c r="S208" s="70">
        <v>0</v>
      </c>
      <c r="T208" s="71">
        <v>0</v>
      </c>
      <c r="U208" s="71">
        <v>0</v>
      </c>
      <c r="V208" s="71">
        <v>0</v>
      </c>
      <c r="W208" s="71">
        <v>0</v>
      </c>
      <c r="X208" s="70">
        <v>0</v>
      </c>
      <c r="Y208" s="70">
        <v>0</v>
      </c>
      <c r="Z208" s="70">
        <v>0</v>
      </c>
      <c r="AA208" s="70">
        <v>0</v>
      </c>
      <c r="AB208" s="71">
        <v>0</v>
      </c>
      <c r="AC208" s="71">
        <v>0</v>
      </c>
      <c r="AD208" s="71">
        <v>0</v>
      </c>
      <c r="AE208" s="71">
        <v>0</v>
      </c>
      <c r="AF208" s="70">
        <v>0</v>
      </c>
      <c r="AG208" s="70">
        <v>0</v>
      </c>
      <c r="AH208" s="70">
        <v>0</v>
      </c>
      <c r="AI208" s="70">
        <v>0</v>
      </c>
      <c r="AJ208" s="72" t="s">
        <v>478</v>
      </c>
    </row>
    <row r="209" spans="1:36" customFormat="1" x14ac:dyDescent="0.25">
      <c r="A209" s="68">
        <v>203</v>
      </c>
      <c r="B209" s="69" t="s">
        <v>238</v>
      </c>
      <c r="C209" s="69" t="s">
        <v>246</v>
      </c>
      <c r="D209" s="69" t="s">
        <v>250</v>
      </c>
      <c r="E209" s="69" t="s">
        <v>248</v>
      </c>
      <c r="F209" s="69" t="s">
        <v>249</v>
      </c>
      <c r="G209" s="69" t="s">
        <v>237</v>
      </c>
      <c r="H209" s="70">
        <v>95</v>
      </c>
      <c r="I209" s="70">
        <v>76</v>
      </c>
      <c r="J209" s="70">
        <v>100</v>
      </c>
      <c r="K209" s="70">
        <v>26.722222222222221</v>
      </c>
      <c r="L209" s="71">
        <v>99.293514569982534</v>
      </c>
      <c r="M209" s="71">
        <v>79.434811655986024</v>
      </c>
      <c r="N209" s="71">
        <v>100</v>
      </c>
      <c r="O209" s="71">
        <v>22.71650485316594</v>
      </c>
      <c r="P209" s="70">
        <v>0</v>
      </c>
      <c r="Q209" s="70">
        <v>0</v>
      </c>
      <c r="R209" s="70">
        <v>0</v>
      </c>
      <c r="S209" s="70">
        <v>0</v>
      </c>
      <c r="T209" s="71">
        <v>0</v>
      </c>
      <c r="U209" s="71">
        <v>0</v>
      </c>
      <c r="V209" s="71">
        <v>0</v>
      </c>
      <c r="W209" s="71">
        <v>0</v>
      </c>
      <c r="X209" s="70">
        <v>0</v>
      </c>
      <c r="Y209" s="70">
        <v>0</v>
      </c>
      <c r="Z209" s="70">
        <v>0</v>
      </c>
      <c r="AA209" s="70">
        <v>0</v>
      </c>
      <c r="AB209" s="71">
        <v>60</v>
      </c>
      <c r="AC209" s="71">
        <v>48</v>
      </c>
      <c r="AD209" s="71">
        <v>72</v>
      </c>
      <c r="AE209" s="71">
        <v>24</v>
      </c>
      <c r="AF209" s="70">
        <v>36.046511627906973</v>
      </c>
      <c r="AG209" s="70">
        <v>28.837209302325579</v>
      </c>
      <c r="AH209" s="70">
        <v>43.255813953488371</v>
      </c>
      <c r="AI209" s="70">
        <v>8.6623400036055749</v>
      </c>
      <c r="AJ209" s="72" t="s">
        <v>478</v>
      </c>
    </row>
    <row r="210" spans="1:36" customFormat="1" x14ac:dyDescent="0.25">
      <c r="A210" s="68">
        <v>204</v>
      </c>
      <c r="B210" s="69" t="s">
        <v>238</v>
      </c>
      <c r="C210" s="69" t="s">
        <v>246</v>
      </c>
      <c r="D210" s="69" t="s">
        <v>661</v>
      </c>
      <c r="E210" s="69" t="s">
        <v>248</v>
      </c>
      <c r="F210" s="69" t="s">
        <v>249</v>
      </c>
      <c r="G210" s="69" t="s">
        <v>237</v>
      </c>
      <c r="H210" s="70">
        <v>90</v>
      </c>
      <c r="I210" s="70">
        <v>72</v>
      </c>
      <c r="J210" s="70">
        <v>100</v>
      </c>
      <c r="K210" s="70">
        <v>33.555555555555557</v>
      </c>
      <c r="L210" s="71">
        <v>0</v>
      </c>
      <c r="M210" s="71">
        <v>0</v>
      </c>
      <c r="N210" s="71">
        <v>0</v>
      </c>
      <c r="O210" s="71">
        <v>0</v>
      </c>
      <c r="P210" s="70">
        <v>0</v>
      </c>
      <c r="Q210" s="70">
        <v>0</v>
      </c>
      <c r="R210" s="70">
        <v>0</v>
      </c>
      <c r="S210" s="70">
        <v>0</v>
      </c>
      <c r="T210" s="71">
        <v>0</v>
      </c>
      <c r="U210" s="71">
        <v>0</v>
      </c>
      <c r="V210" s="71">
        <v>0</v>
      </c>
      <c r="W210" s="71">
        <v>0</v>
      </c>
      <c r="X210" s="70">
        <v>0</v>
      </c>
      <c r="Y210" s="70">
        <v>0</v>
      </c>
      <c r="Z210" s="70">
        <v>0</v>
      </c>
      <c r="AA210" s="70">
        <v>0</v>
      </c>
      <c r="AB210" s="71">
        <v>0</v>
      </c>
      <c r="AC210" s="71">
        <v>0</v>
      </c>
      <c r="AD210" s="71">
        <v>0</v>
      </c>
      <c r="AE210" s="71">
        <v>0</v>
      </c>
      <c r="AF210" s="70">
        <v>0</v>
      </c>
      <c r="AG210" s="70">
        <v>0</v>
      </c>
      <c r="AH210" s="70">
        <v>0</v>
      </c>
      <c r="AI210" s="70">
        <v>0</v>
      </c>
      <c r="AJ210" s="72" t="s">
        <v>478</v>
      </c>
    </row>
    <row r="211" spans="1:36" customFormat="1" x14ac:dyDescent="0.25">
      <c r="A211" s="68">
        <v>205</v>
      </c>
      <c r="B211" s="69" t="s">
        <v>238</v>
      </c>
      <c r="C211" s="69" t="s">
        <v>246</v>
      </c>
      <c r="D211" s="69" t="s">
        <v>662</v>
      </c>
      <c r="E211" s="69" t="s">
        <v>248</v>
      </c>
      <c r="F211" s="69" t="s">
        <v>249</v>
      </c>
      <c r="G211" s="69" t="s">
        <v>237</v>
      </c>
      <c r="H211" s="70">
        <v>90</v>
      </c>
      <c r="I211" s="70">
        <v>72</v>
      </c>
      <c r="J211" s="70">
        <v>100</v>
      </c>
      <c r="K211" s="70">
        <v>33.555555555555557</v>
      </c>
      <c r="L211" s="71">
        <v>100</v>
      </c>
      <c r="M211" s="71">
        <v>80</v>
      </c>
      <c r="N211" s="71">
        <v>100</v>
      </c>
      <c r="O211" s="71">
        <v>22.222222222222221</v>
      </c>
      <c r="P211" s="70">
        <v>100</v>
      </c>
      <c r="Q211" s="70">
        <v>80</v>
      </c>
      <c r="R211" s="70">
        <v>100</v>
      </c>
      <c r="S211" s="70">
        <v>22.222222222222221</v>
      </c>
      <c r="T211" s="71">
        <v>100</v>
      </c>
      <c r="U211" s="71">
        <v>80</v>
      </c>
      <c r="V211" s="71">
        <v>100</v>
      </c>
      <c r="W211" s="71">
        <v>22.222222222222221</v>
      </c>
      <c r="X211" s="70">
        <v>100</v>
      </c>
      <c r="Y211" s="70">
        <v>80</v>
      </c>
      <c r="Z211" s="70">
        <v>100</v>
      </c>
      <c r="AA211" s="70">
        <v>22.222222222222221</v>
      </c>
      <c r="AB211" s="71">
        <v>30</v>
      </c>
      <c r="AC211" s="71">
        <v>24</v>
      </c>
      <c r="AD211" s="71">
        <v>36</v>
      </c>
      <c r="AE211" s="71">
        <v>6</v>
      </c>
      <c r="AF211" s="70">
        <v>0</v>
      </c>
      <c r="AG211" s="70">
        <v>0</v>
      </c>
      <c r="AH211" s="70">
        <v>0</v>
      </c>
      <c r="AI211" s="70">
        <v>0</v>
      </c>
      <c r="AJ211" s="72" t="s">
        <v>478</v>
      </c>
    </row>
    <row r="212" spans="1:36" customFormat="1" x14ac:dyDescent="0.25">
      <c r="A212" s="68">
        <v>206</v>
      </c>
      <c r="B212" s="69" t="s">
        <v>238</v>
      </c>
      <c r="C212" s="69" t="s">
        <v>246</v>
      </c>
      <c r="D212" s="69" t="s">
        <v>247</v>
      </c>
      <c r="E212" s="69" t="s">
        <v>248</v>
      </c>
      <c r="F212" s="69" t="s">
        <v>249</v>
      </c>
      <c r="G212" s="69" t="s">
        <v>237</v>
      </c>
      <c r="H212" s="70">
        <v>64.08450704225352</v>
      </c>
      <c r="I212" s="70">
        <v>51.267605633802816</v>
      </c>
      <c r="J212" s="70">
        <v>76.901408450704224</v>
      </c>
      <c r="K212" s="70">
        <v>27.378826952324186</v>
      </c>
      <c r="L212" s="71">
        <v>0</v>
      </c>
      <c r="M212" s="71">
        <v>0</v>
      </c>
      <c r="N212" s="71">
        <v>0</v>
      </c>
      <c r="O212" s="71">
        <v>0</v>
      </c>
      <c r="P212" s="70">
        <v>0</v>
      </c>
      <c r="Q212" s="70">
        <v>0</v>
      </c>
      <c r="R212" s="70">
        <v>0</v>
      </c>
      <c r="S212" s="70">
        <v>0</v>
      </c>
      <c r="T212" s="71">
        <v>0</v>
      </c>
      <c r="U212" s="71">
        <v>0</v>
      </c>
      <c r="V212" s="71">
        <v>0</v>
      </c>
      <c r="W212" s="71">
        <v>0</v>
      </c>
      <c r="X212" s="70">
        <v>0</v>
      </c>
      <c r="Y212" s="70">
        <v>0</v>
      </c>
      <c r="Z212" s="70">
        <v>0</v>
      </c>
      <c r="AA212" s="70">
        <v>0</v>
      </c>
      <c r="AB212" s="71">
        <v>0</v>
      </c>
      <c r="AC212" s="71">
        <v>0</v>
      </c>
      <c r="AD212" s="71">
        <v>0</v>
      </c>
      <c r="AE212" s="71">
        <v>0</v>
      </c>
      <c r="AF212" s="70">
        <v>99.941145620884555</v>
      </c>
      <c r="AG212" s="70">
        <v>79.952916496707644</v>
      </c>
      <c r="AH212" s="70">
        <v>100</v>
      </c>
      <c r="AI212" s="70">
        <v>22.26162012073635</v>
      </c>
      <c r="AJ212" s="72" t="s">
        <v>478</v>
      </c>
    </row>
    <row r="213" spans="1:36" customFormat="1" x14ac:dyDescent="0.25">
      <c r="A213" s="68">
        <v>207</v>
      </c>
      <c r="B213" s="69" t="s">
        <v>238</v>
      </c>
      <c r="C213" s="69" t="s">
        <v>246</v>
      </c>
      <c r="D213" s="69" t="s">
        <v>663</v>
      </c>
      <c r="E213" s="69" t="s">
        <v>248</v>
      </c>
      <c r="F213" s="69" t="s">
        <v>249</v>
      </c>
      <c r="G213" s="69" t="s">
        <v>237</v>
      </c>
      <c r="H213" s="70">
        <v>90</v>
      </c>
      <c r="I213" s="70">
        <v>72</v>
      </c>
      <c r="J213" s="70">
        <v>100</v>
      </c>
      <c r="K213" s="70">
        <v>33.555555555555557</v>
      </c>
      <c r="L213" s="71">
        <v>0.46999999999999886</v>
      </c>
      <c r="M213" s="71">
        <v>0.37599999999999911</v>
      </c>
      <c r="N213" s="71">
        <v>0.56399999999999861</v>
      </c>
      <c r="O213" s="71">
        <v>1.472666666666656E-3</v>
      </c>
      <c r="P213" s="70">
        <v>0.46999999999999886</v>
      </c>
      <c r="Q213" s="70">
        <v>0.37599999999999911</v>
      </c>
      <c r="R213" s="70">
        <v>0.56399999999999861</v>
      </c>
      <c r="S213" s="70">
        <v>1.472666666666656E-3</v>
      </c>
      <c r="T213" s="71">
        <v>0.46999999999999886</v>
      </c>
      <c r="U213" s="71">
        <v>0.37599999999999911</v>
      </c>
      <c r="V213" s="71">
        <v>0.56399999999999861</v>
      </c>
      <c r="W213" s="71">
        <v>1.472666666666656E-3</v>
      </c>
      <c r="X213" s="70">
        <v>0.46999999999999886</v>
      </c>
      <c r="Y213" s="70">
        <v>0.37599999999999911</v>
      </c>
      <c r="Z213" s="70">
        <v>0.56399999999999861</v>
      </c>
      <c r="AA213" s="70">
        <v>1.472666666666656E-3</v>
      </c>
      <c r="AB213" s="71">
        <v>0</v>
      </c>
      <c r="AC213" s="71">
        <v>0</v>
      </c>
      <c r="AD213" s="71">
        <v>0</v>
      </c>
      <c r="AE213" s="71">
        <v>0</v>
      </c>
      <c r="AF213" s="70">
        <v>99.071093534443122</v>
      </c>
      <c r="AG213" s="70">
        <v>79.256874827554498</v>
      </c>
      <c r="AH213" s="70">
        <v>100</v>
      </c>
      <c r="AI213" s="70">
        <v>22.88176033627547</v>
      </c>
      <c r="AJ213" s="72" t="s">
        <v>478</v>
      </c>
    </row>
    <row r="214" spans="1:36" customFormat="1" x14ac:dyDescent="0.25">
      <c r="A214" s="68">
        <v>208</v>
      </c>
      <c r="B214" s="69" t="s">
        <v>238</v>
      </c>
      <c r="C214" s="69" t="s">
        <v>246</v>
      </c>
      <c r="D214" s="69" t="s">
        <v>664</v>
      </c>
      <c r="E214" s="69" t="s">
        <v>248</v>
      </c>
      <c r="F214" s="69" t="s">
        <v>249</v>
      </c>
      <c r="G214" s="69" t="s">
        <v>237</v>
      </c>
      <c r="H214" s="70">
        <v>90</v>
      </c>
      <c r="I214" s="70">
        <v>72</v>
      </c>
      <c r="J214" s="70">
        <v>100</v>
      </c>
      <c r="K214" s="70">
        <v>33.555555555555557</v>
      </c>
      <c r="L214" s="71">
        <v>0.84099999999999397</v>
      </c>
      <c r="M214" s="71">
        <v>0.67279999999999518</v>
      </c>
      <c r="N214" s="71">
        <v>1.0091999999999928</v>
      </c>
      <c r="O214" s="71">
        <v>4.7152066666665887E-3</v>
      </c>
      <c r="P214" s="70">
        <v>0.84099999999999397</v>
      </c>
      <c r="Q214" s="70">
        <v>0.67279999999999518</v>
      </c>
      <c r="R214" s="70">
        <v>1.0091999999999928</v>
      </c>
      <c r="S214" s="70">
        <v>4.7152066666665887E-3</v>
      </c>
      <c r="T214" s="71">
        <v>0.84099999999999397</v>
      </c>
      <c r="U214" s="71">
        <v>0.67279999999999518</v>
      </c>
      <c r="V214" s="71">
        <v>1.0091999999999928</v>
      </c>
      <c r="W214" s="71">
        <v>4.7152066666665887E-3</v>
      </c>
      <c r="X214" s="70">
        <v>0.84099999999999397</v>
      </c>
      <c r="Y214" s="70">
        <v>0.67279999999999518</v>
      </c>
      <c r="Z214" s="70">
        <v>1.0091999999999928</v>
      </c>
      <c r="AA214" s="70">
        <v>4.7152066666665887E-3</v>
      </c>
      <c r="AB214" s="71">
        <v>0</v>
      </c>
      <c r="AC214" s="71">
        <v>0</v>
      </c>
      <c r="AD214" s="71">
        <v>0</v>
      </c>
      <c r="AE214" s="71">
        <v>0</v>
      </c>
      <c r="AF214" s="70">
        <v>26.564885496183209</v>
      </c>
      <c r="AG214" s="70">
        <v>21.251908396946568</v>
      </c>
      <c r="AH214" s="70">
        <v>31.877862595419849</v>
      </c>
      <c r="AI214" s="70">
        <v>4.7046209428354846</v>
      </c>
      <c r="AJ214" s="72" t="s">
        <v>478</v>
      </c>
    </row>
    <row r="215" spans="1:36" customFormat="1" x14ac:dyDescent="0.25">
      <c r="A215" s="68">
        <v>209</v>
      </c>
      <c r="B215" s="69" t="s">
        <v>238</v>
      </c>
      <c r="C215" s="69" t="s">
        <v>246</v>
      </c>
      <c r="D215" s="69" t="s">
        <v>665</v>
      </c>
      <c r="E215" s="69" t="s">
        <v>248</v>
      </c>
      <c r="F215" s="69" t="s">
        <v>249</v>
      </c>
      <c r="G215" s="69" t="s">
        <v>237</v>
      </c>
      <c r="H215" s="70">
        <v>90</v>
      </c>
      <c r="I215" s="70">
        <v>72</v>
      </c>
      <c r="J215" s="70">
        <v>100</v>
      </c>
      <c r="K215" s="70">
        <v>33.555555555555557</v>
      </c>
      <c r="L215" s="71">
        <v>4.0000000000006253E-2</v>
      </c>
      <c r="M215" s="71">
        <v>3.2000000000005004E-2</v>
      </c>
      <c r="N215" s="71">
        <v>4.8000000000007502E-2</v>
      </c>
      <c r="O215" s="71">
        <v>1.0666666666669972E-5</v>
      </c>
      <c r="P215" s="70">
        <v>4.0000000000006253E-2</v>
      </c>
      <c r="Q215" s="70">
        <v>3.2000000000005004E-2</v>
      </c>
      <c r="R215" s="70">
        <v>4.8000000000007502E-2</v>
      </c>
      <c r="S215" s="70">
        <v>1.0666666666669972E-5</v>
      </c>
      <c r="T215" s="71">
        <v>4.0000000000006253E-2</v>
      </c>
      <c r="U215" s="71">
        <v>3.2000000000005004E-2</v>
      </c>
      <c r="V215" s="71">
        <v>4.8000000000007502E-2</v>
      </c>
      <c r="W215" s="71">
        <v>1.0666666666669972E-5</v>
      </c>
      <c r="X215" s="70">
        <v>4.0000000000006253E-2</v>
      </c>
      <c r="Y215" s="70">
        <v>3.2000000000005004E-2</v>
      </c>
      <c r="Z215" s="70">
        <v>4.8000000000007502E-2</v>
      </c>
      <c r="AA215" s="70">
        <v>1.0666666666669972E-5</v>
      </c>
      <c r="AB215" s="71">
        <v>0</v>
      </c>
      <c r="AC215" s="71">
        <v>0</v>
      </c>
      <c r="AD215" s="71">
        <v>0</v>
      </c>
      <c r="AE215" s="71">
        <v>0</v>
      </c>
      <c r="AF215" s="70">
        <v>99.383206106870233</v>
      </c>
      <c r="AG215" s="70">
        <v>79.506564885496189</v>
      </c>
      <c r="AH215" s="70">
        <v>100</v>
      </c>
      <c r="AI215" s="70">
        <v>22.651171770616909</v>
      </c>
      <c r="AJ215" s="72" t="s">
        <v>478</v>
      </c>
    </row>
    <row r="216" spans="1:36" customFormat="1" x14ac:dyDescent="0.25">
      <c r="A216" s="68">
        <v>210</v>
      </c>
      <c r="B216" s="69" t="s">
        <v>238</v>
      </c>
      <c r="C216" s="69" t="s">
        <v>246</v>
      </c>
      <c r="D216" s="69" t="s">
        <v>666</v>
      </c>
      <c r="E216" s="69" t="s">
        <v>248</v>
      </c>
      <c r="F216" s="69" t="s">
        <v>249</v>
      </c>
      <c r="G216" s="69" t="s">
        <v>237</v>
      </c>
      <c r="H216" s="70">
        <v>90</v>
      </c>
      <c r="I216" s="70">
        <v>72</v>
      </c>
      <c r="J216" s="70">
        <v>100</v>
      </c>
      <c r="K216" s="70">
        <v>33.555555555555557</v>
      </c>
      <c r="L216" s="71">
        <v>7.9999999999998295E-2</v>
      </c>
      <c r="M216" s="71">
        <v>6.3999999999998641E-2</v>
      </c>
      <c r="N216" s="71">
        <v>9.5999999999997948E-2</v>
      </c>
      <c r="O216" s="71">
        <v>4.266666666666486E-5</v>
      </c>
      <c r="P216" s="70">
        <v>7.9999999999998295E-2</v>
      </c>
      <c r="Q216" s="70">
        <v>6.3999999999998641E-2</v>
      </c>
      <c r="R216" s="70">
        <v>9.5999999999997948E-2</v>
      </c>
      <c r="S216" s="70">
        <v>4.266666666666486E-5</v>
      </c>
      <c r="T216" s="71">
        <v>7.9999999999998295E-2</v>
      </c>
      <c r="U216" s="71">
        <v>6.3999999999998641E-2</v>
      </c>
      <c r="V216" s="71">
        <v>9.5999999999997948E-2</v>
      </c>
      <c r="W216" s="71">
        <v>4.266666666666486E-5</v>
      </c>
      <c r="X216" s="70">
        <v>7.9999999999998295E-2</v>
      </c>
      <c r="Y216" s="70">
        <v>6.3999999999998641E-2</v>
      </c>
      <c r="Z216" s="70">
        <v>9.5999999999997948E-2</v>
      </c>
      <c r="AA216" s="70">
        <v>4.266666666666486E-5</v>
      </c>
      <c r="AB216" s="71">
        <v>0</v>
      </c>
      <c r="AC216" s="71">
        <v>0</v>
      </c>
      <c r="AD216" s="71">
        <v>0</v>
      </c>
      <c r="AE216" s="71">
        <v>0</v>
      </c>
      <c r="AF216" s="70">
        <v>99.659528473957977</v>
      </c>
      <c r="AG216" s="70">
        <v>79.727622779166381</v>
      </c>
      <c r="AH216" s="70">
        <v>100</v>
      </c>
      <c r="AI216" s="70">
        <v>22.454612879718901</v>
      </c>
      <c r="AJ216" s="72" t="s">
        <v>478</v>
      </c>
    </row>
    <row r="217" spans="1:36" customFormat="1" x14ac:dyDescent="0.25">
      <c r="A217" s="68">
        <v>211</v>
      </c>
      <c r="B217" s="69" t="s">
        <v>238</v>
      </c>
      <c r="C217" s="69" t="s">
        <v>246</v>
      </c>
      <c r="D217" s="69" t="s">
        <v>667</v>
      </c>
      <c r="E217" s="69" t="s">
        <v>248</v>
      </c>
      <c r="F217" s="69" t="s">
        <v>249</v>
      </c>
      <c r="G217" s="69" t="s">
        <v>237</v>
      </c>
      <c r="H217" s="70">
        <v>90</v>
      </c>
      <c r="I217" s="70">
        <v>72</v>
      </c>
      <c r="J217" s="70">
        <v>100</v>
      </c>
      <c r="K217" s="70">
        <v>33.555555555555557</v>
      </c>
      <c r="L217" s="71">
        <v>1.9999999999996021E-2</v>
      </c>
      <c r="M217" s="71">
        <v>1.5999999999996815E-2</v>
      </c>
      <c r="N217" s="71">
        <v>2.3999999999995227E-2</v>
      </c>
      <c r="O217" s="71">
        <v>2.6666666666656051E-6</v>
      </c>
      <c r="P217" s="70">
        <v>1.9999999999996021E-2</v>
      </c>
      <c r="Q217" s="70">
        <v>1.5999999999996815E-2</v>
      </c>
      <c r="R217" s="70">
        <v>2.3999999999995227E-2</v>
      </c>
      <c r="S217" s="70">
        <v>2.6666666666656051E-6</v>
      </c>
      <c r="T217" s="71">
        <v>1.9999999999996021E-2</v>
      </c>
      <c r="U217" s="71">
        <v>1.5999999999996815E-2</v>
      </c>
      <c r="V217" s="71">
        <v>2.3999999999995227E-2</v>
      </c>
      <c r="W217" s="71">
        <v>2.6666666666656051E-6</v>
      </c>
      <c r="X217" s="70">
        <v>1.9999999999996021E-2</v>
      </c>
      <c r="Y217" s="70">
        <v>1.5999999999996815E-2</v>
      </c>
      <c r="Z217" s="70">
        <v>2.3999999999995227E-2</v>
      </c>
      <c r="AA217" s="70">
        <v>2.6666666666656051E-6</v>
      </c>
      <c r="AB217" s="71">
        <v>0</v>
      </c>
      <c r="AC217" s="71">
        <v>0</v>
      </c>
      <c r="AD217" s="71">
        <v>0</v>
      </c>
      <c r="AE217" s="71">
        <v>0</v>
      </c>
      <c r="AF217" s="70">
        <v>97.452100500480256</v>
      </c>
      <c r="AG217" s="70">
        <v>77.961680400384211</v>
      </c>
      <c r="AH217" s="70">
        <v>100</v>
      </c>
      <c r="AI217" s="70">
        <v>24.223772175352373</v>
      </c>
      <c r="AJ217" s="72" t="s">
        <v>478</v>
      </c>
    </row>
    <row r="218" spans="1:36" customFormat="1" x14ac:dyDescent="0.25">
      <c r="A218" s="68">
        <v>212</v>
      </c>
      <c r="B218" s="69" t="s">
        <v>238</v>
      </c>
      <c r="C218" s="69" t="s">
        <v>246</v>
      </c>
      <c r="D218" s="69" t="s">
        <v>668</v>
      </c>
      <c r="E218" s="69" t="s">
        <v>248</v>
      </c>
      <c r="F218" s="69" t="s">
        <v>249</v>
      </c>
      <c r="G218" s="69" t="s">
        <v>237</v>
      </c>
      <c r="H218" s="70">
        <v>90</v>
      </c>
      <c r="I218" s="70">
        <v>72</v>
      </c>
      <c r="J218" s="70">
        <v>100</v>
      </c>
      <c r="K218" s="70">
        <v>33.555555555555557</v>
      </c>
      <c r="L218" s="71">
        <v>0.12000000000000455</v>
      </c>
      <c r="M218" s="71">
        <v>9.6000000000003638E-2</v>
      </c>
      <c r="N218" s="71">
        <v>0.14400000000000546</v>
      </c>
      <c r="O218" s="71">
        <v>9.6000000000007334E-5</v>
      </c>
      <c r="P218" s="70">
        <v>0.12000000000000455</v>
      </c>
      <c r="Q218" s="70">
        <v>9.6000000000003638E-2</v>
      </c>
      <c r="R218" s="70">
        <v>0.14400000000000546</v>
      </c>
      <c r="S218" s="70">
        <v>9.6000000000007334E-5</v>
      </c>
      <c r="T218" s="71">
        <v>0.12000000000000455</v>
      </c>
      <c r="U218" s="71">
        <v>9.6000000000003638E-2</v>
      </c>
      <c r="V218" s="71">
        <v>0.14400000000000546</v>
      </c>
      <c r="W218" s="71">
        <v>9.6000000000007334E-5</v>
      </c>
      <c r="X218" s="70">
        <v>0.12000000000000455</v>
      </c>
      <c r="Y218" s="70">
        <v>9.6000000000003638E-2</v>
      </c>
      <c r="Z218" s="70">
        <v>0.14400000000000546</v>
      </c>
      <c r="AA218" s="70">
        <v>9.6000000000007334E-5</v>
      </c>
      <c r="AB218" s="71">
        <v>0</v>
      </c>
      <c r="AC218" s="71">
        <v>0</v>
      </c>
      <c r="AD218" s="71">
        <v>0</v>
      </c>
      <c r="AE218" s="71">
        <v>0</v>
      </c>
      <c r="AF218" s="70">
        <v>99.323386537126993</v>
      </c>
      <c r="AG218" s="70">
        <v>79.458709229701597</v>
      </c>
      <c r="AH218" s="70">
        <v>100</v>
      </c>
      <c r="AI218" s="70">
        <v>22.694662133784224</v>
      </c>
      <c r="AJ218" s="72" t="s">
        <v>478</v>
      </c>
    </row>
    <row r="219" spans="1:36" customFormat="1" x14ac:dyDescent="0.25">
      <c r="A219" s="68">
        <v>213</v>
      </c>
      <c r="B219" s="69" t="s">
        <v>238</v>
      </c>
      <c r="C219" s="69" t="s">
        <v>246</v>
      </c>
      <c r="D219" s="69" t="s">
        <v>669</v>
      </c>
      <c r="E219" s="69" t="s">
        <v>248</v>
      </c>
      <c r="F219" s="69" t="s">
        <v>249</v>
      </c>
      <c r="G219" s="69" t="s">
        <v>237</v>
      </c>
      <c r="H219" s="70">
        <v>90</v>
      </c>
      <c r="I219" s="70">
        <v>72</v>
      </c>
      <c r="J219" s="70">
        <v>100</v>
      </c>
      <c r="K219" s="70">
        <v>33.555555555555557</v>
      </c>
      <c r="L219" s="71">
        <v>0.23999999999999488</v>
      </c>
      <c r="M219" s="71">
        <v>0.1919999999999959</v>
      </c>
      <c r="N219" s="71">
        <v>0.28799999999999387</v>
      </c>
      <c r="O219" s="71">
        <v>3.8399999999998386E-4</v>
      </c>
      <c r="P219" s="70">
        <v>0.23999999999999488</v>
      </c>
      <c r="Q219" s="70">
        <v>0.1919999999999959</v>
      </c>
      <c r="R219" s="70">
        <v>0.28799999999999387</v>
      </c>
      <c r="S219" s="70">
        <v>3.8399999999998386E-4</v>
      </c>
      <c r="T219" s="71">
        <v>0.23999999999999488</v>
      </c>
      <c r="U219" s="71">
        <v>0.1919999999999959</v>
      </c>
      <c r="V219" s="71">
        <v>0.28799999999999387</v>
      </c>
      <c r="W219" s="71">
        <v>3.8399999999998386E-4</v>
      </c>
      <c r="X219" s="70">
        <v>0.23999999999999488</v>
      </c>
      <c r="Y219" s="70">
        <v>0.1919999999999959</v>
      </c>
      <c r="Z219" s="70">
        <v>0.28799999999999387</v>
      </c>
      <c r="AA219" s="70">
        <v>3.8399999999998386E-4</v>
      </c>
      <c r="AB219" s="71">
        <v>0</v>
      </c>
      <c r="AC219" s="71">
        <v>0</v>
      </c>
      <c r="AD219" s="71">
        <v>0</v>
      </c>
      <c r="AE219" s="71">
        <v>0</v>
      </c>
      <c r="AF219" s="70">
        <v>95.187520743445077</v>
      </c>
      <c r="AG219" s="70">
        <v>76.150016594756067</v>
      </c>
      <c r="AH219" s="70">
        <v>100</v>
      </c>
      <c r="AI219" s="70">
        <v>26.511339701014649</v>
      </c>
      <c r="AJ219" s="72" t="s">
        <v>478</v>
      </c>
    </row>
    <row r="220" spans="1:36" customFormat="1" x14ac:dyDescent="0.25">
      <c r="A220" s="68">
        <v>214</v>
      </c>
      <c r="B220" s="69" t="s">
        <v>238</v>
      </c>
      <c r="C220" s="69" t="s">
        <v>246</v>
      </c>
      <c r="D220" s="69" t="s">
        <v>670</v>
      </c>
      <c r="E220" s="69" t="s">
        <v>248</v>
      </c>
      <c r="F220" s="69" t="s">
        <v>249</v>
      </c>
      <c r="G220" s="69" t="s">
        <v>237</v>
      </c>
      <c r="H220" s="70">
        <v>90</v>
      </c>
      <c r="I220" s="70">
        <v>72</v>
      </c>
      <c r="J220" s="70">
        <v>100</v>
      </c>
      <c r="K220" s="70">
        <v>33.555555555555557</v>
      </c>
      <c r="L220" s="71">
        <v>6.0000000000002274E-2</v>
      </c>
      <c r="M220" s="71">
        <v>4.8000000000001819E-2</v>
      </c>
      <c r="N220" s="71">
        <v>7.2000000000002728E-2</v>
      </c>
      <c r="O220" s="71">
        <v>2.4000000000001834E-5</v>
      </c>
      <c r="P220" s="70">
        <v>6.0000000000002274E-2</v>
      </c>
      <c r="Q220" s="70">
        <v>4.8000000000001819E-2</v>
      </c>
      <c r="R220" s="70">
        <v>7.2000000000002728E-2</v>
      </c>
      <c r="S220" s="70">
        <v>2.4000000000001834E-5</v>
      </c>
      <c r="T220" s="71">
        <v>6.0000000000002274E-2</v>
      </c>
      <c r="U220" s="71">
        <v>4.8000000000001819E-2</v>
      </c>
      <c r="V220" s="71">
        <v>7.2000000000002728E-2</v>
      </c>
      <c r="W220" s="71">
        <v>2.4000000000001834E-5</v>
      </c>
      <c r="X220" s="70">
        <v>6.0000000000002274E-2</v>
      </c>
      <c r="Y220" s="70">
        <v>4.8000000000001819E-2</v>
      </c>
      <c r="Z220" s="70">
        <v>7.2000000000002728E-2</v>
      </c>
      <c r="AA220" s="70">
        <v>2.4000000000001834E-5</v>
      </c>
      <c r="AB220" s="71">
        <v>0</v>
      </c>
      <c r="AC220" s="71">
        <v>0</v>
      </c>
      <c r="AD220" s="71">
        <v>0</v>
      </c>
      <c r="AE220" s="71">
        <v>0</v>
      </c>
      <c r="AF220" s="70">
        <v>99.809639400811264</v>
      </c>
      <c r="AG220" s="70">
        <v>79.847711520649014</v>
      </c>
      <c r="AH220" s="70">
        <v>100</v>
      </c>
      <c r="AI220" s="70">
        <v>22.35082035570839</v>
      </c>
      <c r="AJ220" s="72" t="s">
        <v>478</v>
      </c>
    </row>
    <row r="221" spans="1:36" customFormat="1" x14ac:dyDescent="0.25">
      <c r="A221" s="68">
        <v>215</v>
      </c>
      <c r="B221" s="69" t="s">
        <v>238</v>
      </c>
      <c r="C221" s="69" t="s">
        <v>251</v>
      </c>
      <c r="D221" s="69" t="s">
        <v>671</v>
      </c>
      <c r="E221" s="69" t="s">
        <v>248</v>
      </c>
      <c r="F221" s="69" t="s">
        <v>249</v>
      </c>
      <c r="G221" s="69" t="s">
        <v>237</v>
      </c>
      <c r="H221" s="70">
        <v>11.061305442158698</v>
      </c>
      <c r="I221" s="70">
        <v>8.8490443537269581</v>
      </c>
      <c r="J221" s="70">
        <v>13.273566530590438</v>
      </c>
      <c r="K221" s="70">
        <v>0.81568318723153266</v>
      </c>
      <c r="L221" s="71">
        <v>0</v>
      </c>
      <c r="M221" s="71">
        <v>0</v>
      </c>
      <c r="N221" s="71">
        <v>0</v>
      </c>
      <c r="O221" s="71">
        <v>0</v>
      </c>
      <c r="P221" s="70">
        <v>0</v>
      </c>
      <c r="Q221" s="70">
        <v>0</v>
      </c>
      <c r="R221" s="70">
        <v>0</v>
      </c>
      <c r="S221" s="70">
        <v>0</v>
      </c>
      <c r="T221" s="71">
        <v>0</v>
      </c>
      <c r="U221" s="71">
        <v>0</v>
      </c>
      <c r="V221" s="71">
        <v>0</v>
      </c>
      <c r="W221" s="71">
        <v>0</v>
      </c>
      <c r="X221" s="70">
        <v>0</v>
      </c>
      <c r="Y221" s="70">
        <v>0</v>
      </c>
      <c r="Z221" s="70">
        <v>0</v>
      </c>
      <c r="AA221" s="70">
        <v>0</v>
      </c>
      <c r="AB221" s="71">
        <v>57.79</v>
      </c>
      <c r="AC221" s="71">
        <v>46.231999999999999</v>
      </c>
      <c r="AD221" s="71">
        <v>69.347999999999999</v>
      </c>
      <c r="AE221" s="71">
        <v>22.264560666666789</v>
      </c>
      <c r="AF221" s="70">
        <v>0</v>
      </c>
      <c r="AG221" s="70">
        <v>0</v>
      </c>
      <c r="AH221" s="70">
        <v>0</v>
      </c>
      <c r="AI221" s="70">
        <v>0</v>
      </c>
      <c r="AJ221" s="72" t="s">
        <v>478</v>
      </c>
    </row>
    <row r="222" spans="1:36" customFormat="1" x14ac:dyDescent="0.25">
      <c r="A222" s="68">
        <v>216</v>
      </c>
      <c r="B222" s="69" t="s">
        <v>238</v>
      </c>
      <c r="C222" s="69" t="s">
        <v>251</v>
      </c>
      <c r="D222" s="69" t="s">
        <v>672</v>
      </c>
      <c r="E222" s="69" t="s">
        <v>248</v>
      </c>
      <c r="F222" s="69" t="s">
        <v>249</v>
      </c>
      <c r="G222" s="69" t="s">
        <v>237</v>
      </c>
      <c r="H222" s="70">
        <v>0</v>
      </c>
      <c r="I222" s="70">
        <v>0</v>
      </c>
      <c r="J222" s="70">
        <v>0</v>
      </c>
      <c r="K222" s="70">
        <v>0</v>
      </c>
      <c r="L222" s="71">
        <v>0</v>
      </c>
      <c r="M222" s="71">
        <v>0</v>
      </c>
      <c r="N222" s="71">
        <v>0</v>
      </c>
      <c r="O222" s="71">
        <v>0</v>
      </c>
      <c r="P222" s="70">
        <v>100</v>
      </c>
      <c r="Q222" s="70">
        <v>80</v>
      </c>
      <c r="R222" s="70">
        <v>100</v>
      </c>
      <c r="S222" s="70">
        <v>22.222222222222221</v>
      </c>
      <c r="T222" s="71">
        <v>0</v>
      </c>
      <c r="U222" s="71">
        <v>0</v>
      </c>
      <c r="V222" s="71">
        <v>0</v>
      </c>
      <c r="W222" s="71">
        <v>0</v>
      </c>
      <c r="X222" s="70">
        <v>0</v>
      </c>
      <c r="Y222" s="70">
        <v>0</v>
      </c>
      <c r="Z222" s="70">
        <v>0</v>
      </c>
      <c r="AA222" s="70">
        <v>0</v>
      </c>
      <c r="AB222" s="71">
        <v>57.79</v>
      </c>
      <c r="AC222" s="71">
        <v>46.231999999999999</v>
      </c>
      <c r="AD222" s="71">
        <v>69.347999999999999</v>
      </c>
      <c r="AE222" s="71">
        <v>22.264560666666789</v>
      </c>
      <c r="AF222" s="70">
        <v>0</v>
      </c>
      <c r="AG222" s="70">
        <v>0</v>
      </c>
      <c r="AH222" s="70">
        <v>0</v>
      </c>
      <c r="AI222" s="70">
        <v>0</v>
      </c>
      <c r="AJ222" s="72" t="s">
        <v>478</v>
      </c>
    </row>
    <row r="223" spans="1:36" customFormat="1" x14ac:dyDescent="0.25">
      <c r="A223" s="68">
        <v>217</v>
      </c>
      <c r="B223" s="69" t="s">
        <v>238</v>
      </c>
      <c r="C223" s="69" t="s">
        <v>251</v>
      </c>
      <c r="D223" s="69" t="s">
        <v>673</v>
      </c>
      <c r="E223" s="69" t="s">
        <v>248</v>
      </c>
      <c r="F223" s="69" t="s">
        <v>249</v>
      </c>
      <c r="G223" s="69" t="s">
        <v>237</v>
      </c>
      <c r="H223" s="70">
        <v>0</v>
      </c>
      <c r="I223" s="70">
        <v>0</v>
      </c>
      <c r="J223" s="70">
        <v>0</v>
      </c>
      <c r="K223" s="70">
        <v>0</v>
      </c>
      <c r="L223" s="71">
        <v>0</v>
      </c>
      <c r="M223" s="71">
        <v>0</v>
      </c>
      <c r="N223" s="71">
        <v>0</v>
      </c>
      <c r="O223" s="71">
        <v>0</v>
      </c>
      <c r="P223" s="70">
        <v>0</v>
      </c>
      <c r="Q223" s="70">
        <v>0</v>
      </c>
      <c r="R223" s="70">
        <v>0</v>
      </c>
      <c r="S223" s="70">
        <v>0</v>
      </c>
      <c r="T223" s="71">
        <v>0</v>
      </c>
      <c r="U223" s="71">
        <v>0</v>
      </c>
      <c r="V223" s="71">
        <v>0</v>
      </c>
      <c r="W223" s="71">
        <v>0</v>
      </c>
      <c r="X223" s="70">
        <v>0</v>
      </c>
      <c r="Y223" s="70">
        <v>0</v>
      </c>
      <c r="Z223" s="70">
        <v>0</v>
      </c>
      <c r="AA223" s="70">
        <v>0</v>
      </c>
      <c r="AB223" s="71">
        <v>0</v>
      </c>
      <c r="AC223" s="71">
        <v>0</v>
      </c>
      <c r="AD223" s="71">
        <v>0</v>
      </c>
      <c r="AE223" s="71">
        <v>0</v>
      </c>
      <c r="AF223" s="70">
        <v>0</v>
      </c>
      <c r="AG223" s="70">
        <v>0</v>
      </c>
      <c r="AH223" s="70">
        <v>0</v>
      </c>
      <c r="AI223" s="70">
        <v>0</v>
      </c>
      <c r="AJ223" s="72" t="s">
        <v>478</v>
      </c>
    </row>
    <row r="224" spans="1:36" customFormat="1" x14ac:dyDescent="0.25">
      <c r="A224" s="68">
        <v>218</v>
      </c>
      <c r="B224" s="69" t="s">
        <v>238</v>
      </c>
      <c r="C224" s="69" t="s">
        <v>251</v>
      </c>
      <c r="D224" s="69" t="s">
        <v>674</v>
      </c>
      <c r="E224" s="69" t="s">
        <v>248</v>
      </c>
      <c r="F224" s="69" t="s">
        <v>249</v>
      </c>
      <c r="G224" s="69" t="s">
        <v>237</v>
      </c>
      <c r="H224" s="70">
        <v>0</v>
      </c>
      <c r="I224" s="70">
        <v>0</v>
      </c>
      <c r="J224" s="70">
        <v>0</v>
      </c>
      <c r="K224" s="70">
        <v>0</v>
      </c>
      <c r="L224" s="71">
        <v>0</v>
      </c>
      <c r="M224" s="71">
        <v>0</v>
      </c>
      <c r="N224" s="71">
        <v>0</v>
      </c>
      <c r="O224" s="71">
        <v>0</v>
      </c>
      <c r="P224" s="70">
        <v>0</v>
      </c>
      <c r="Q224" s="70">
        <v>0</v>
      </c>
      <c r="R224" s="70">
        <v>0</v>
      </c>
      <c r="S224" s="70">
        <v>0</v>
      </c>
      <c r="T224" s="71">
        <v>0</v>
      </c>
      <c r="U224" s="71">
        <v>0</v>
      </c>
      <c r="V224" s="71">
        <v>0</v>
      </c>
      <c r="W224" s="71">
        <v>0</v>
      </c>
      <c r="X224" s="70">
        <v>0</v>
      </c>
      <c r="Y224" s="70">
        <v>0</v>
      </c>
      <c r="Z224" s="70">
        <v>0</v>
      </c>
      <c r="AA224" s="70">
        <v>0</v>
      </c>
      <c r="AB224" s="71">
        <v>57.5</v>
      </c>
      <c r="AC224" s="71">
        <v>46</v>
      </c>
      <c r="AD224" s="71">
        <v>69</v>
      </c>
      <c r="AE224" s="71">
        <v>22.041666666666664</v>
      </c>
      <c r="AF224" s="70">
        <v>0</v>
      </c>
      <c r="AG224" s="70">
        <v>0</v>
      </c>
      <c r="AH224" s="70">
        <v>0</v>
      </c>
      <c r="AI224" s="70">
        <v>0</v>
      </c>
      <c r="AJ224" s="72" t="s">
        <v>478</v>
      </c>
    </row>
    <row r="225" spans="1:36" customFormat="1" x14ac:dyDescent="0.25">
      <c r="A225" s="68">
        <v>219</v>
      </c>
      <c r="B225" s="69" t="s">
        <v>238</v>
      </c>
      <c r="C225" s="69" t="s">
        <v>251</v>
      </c>
      <c r="D225" s="69" t="s">
        <v>675</v>
      </c>
      <c r="E225" s="69" t="s">
        <v>248</v>
      </c>
      <c r="F225" s="69" t="s">
        <v>249</v>
      </c>
      <c r="G225" s="69" t="s">
        <v>237</v>
      </c>
      <c r="H225" s="70">
        <v>11.061305442158698</v>
      </c>
      <c r="I225" s="70">
        <v>8.8490443537269581</v>
      </c>
      <c r="J225" s="70">
        <v>13.273566530590438</v>
      </c>
      <c r="K225" s="70">
        <v>0.81568318723153266</v>
      </c>
      <c r="L225" s="71">
        <v>0</v>
      </c>
      <c r="M225" s="71">
        <v>0</v>
      </c>
      <c r="N225" s="71">
        <v>0</v>
      </c>
      <c r="O225" s="71">
        <v>0</v>
      </c>
      <c r="P225" s="70">
        <v>0</v>
      </c>
      <c r="Q225" s="70">
        <v>0</v>
      </c>
      <c r="R225" s="70">
        <v>0</v>
      </c>
      <c r="S225" s="70">
        <v>0</v>
      </c>
      <c r="T225" s="71">
        <v>0</v>
      </c>
      <c r="U225" s="71">
        <v>0</v>
      </c>
      <c r="V225" s="71">
        <v>0</v>
      </c>
      <c r="W225" s="71">
        <v>0</v>
      </c>
      <c r="X225" s="70">
        <v>0</v>
      </c>
      <c r="Y225" s="70">
        <v>0</v>
      </c>
      <c r="Z225" s="70">
        <v>0</v>
      </c>
      <c r="AA225" s="70">
        <v>0</v>
      </c>
      <c r="AB225" s="71">
        <v>57.5</v>
      </c>
      <c r="AC225" s="71">
        <v>46</v>
      </c>
      <c r="AD225" s="71">
        <v>69</v>
      </c>
      <c r="AE225" s="71">
        <v>22.041666666666664</v>
      </c>
      <c r="AF225" s="70">
        <v>0</v>
      </c>
      <c r="AG225" s="70">
        <v>0</v>
      </c>
      <c r="AH225" s="70">
        <v>0</v>
      </c>
      <c r="AI225" s="70">
        <v>0</v>
      </c>
      <c r="AJ225" s="72" t="s">
        <v>478</v>
      </c>
    </row>
    <row r="226" spans="1:36" customFormat="1" x14ac:dyDescent="0.25">
      <c r="A226" s="68">
        <v>220</v>
      </c>
      <c r="B226" s="69" t="s">
        <v>238</v>
      </c>
      <c r="C226" s="69" t="s">
        <v>251</v>
      </c>
      <c r="D226" s="69" t="s">
        <v>676</v>
      </c>
      <c r="E226" s="69" t="s">
        <v>248</v>
      </c>
      <c r="F226" s="69" t="s">
        <v>249</v>
      </c>
      <c r="G226" s="69" t="s">
        <v>237</v>
      </c>
      <c r="H226" s="70">
        <v>92.795677406443872</v>
      </c>
      <c r="I226" s="70">
        <v>74.236541925155095</v>
      </c>
      <c r="J226" s="70">
        <v>100</v>
      </c>
      <c r="K226" s="70">
        <v>29.447209606087601</v>
      </c>
      <c r="L226" s="71">
        <v>0</v>
      </c>
      <c r="M226" s="71">
        <v>0</v>
      </c>
      <c r="N226" s="71">
        <v>0</v>
      </c>
      <c r="O226" s="71">
        <v>0</v>
      </c>
      <c r="P226" s="70">
        <v>100</v>
      </c>
      <c r="Q226" s="70">
        <v>80</v>
      </c>
      <c r="R226" s="70">
        <v>100</v>
      </c>
      <c r="S226" s="70">
        <v>22.222222222222221</v>
      </c>
      <c r="T226" s="71">
        <v>0</v>
      </c>
      <c r="U226" s="71">
        <v>0</v>
      </c>
      <c r="V226" s="71">
        <v>0</v>
      </c>
      <c r="W226" s="71">
        <v>0</v>
      </c>
      <c r="X226" s="70">
        <v>0</v>
      </c>
      <c r="Y226" s="70">
        <v>0</v>
      </c>
      <c r="Z226" s="70">
        <v>0</v>
      </c>
      <c r="AA226" s="70">
        <v>0</v>
      </c>
      <c r="AB226" s="71">
        <v>100</v>
      </c>
      <c r="AC226" s="71">
        <v>80</v>
      </c>
      <c r="AD226" s="71">
        <v>100</v>
      </c>
      <c r="AE226" s="71">
        <v>22.222222222222221</v>
      </c>
      <c r="AF226" s="70">
        <v>0</v>
      </c>
      <c r="AG226" s="70">
        <v>0</v>
      </c>
      <c r="AH226" s="70">
        <v>0</v>
      </c>
      <c r="AI226" s="70">
        <v>0</v>
      </c>
      <c r="AJ226" s="72" t="s">
        <v>478</v>
      </c>
    </row>
    <row r="227" spans="1:36" customFormat="1" x14ac:dyDescent="0.25">
      <c r="A227" s="68">
        <v>221</v>
      </c>
      <c r="B227" s="69" t="s">
        <v>238</v>
      </c>
      <c r="C227" s="69" t="s">
        <v>251</v>
      </c>
      <c r="D227" s="69" t="s">
        <v>677</v>
      </c>
      <c r="E227" s="69" t="s">
        <v>248</v>
      </c>
      <c r="F227" s="69" t="s">
        <v>249</v>
      </c>
      <c r="G227" s="69" t="s">
        <v>237</v>
      </c>
      <c r="H227" s="70">
        <v>67.398623024290032</v>
      </c>
      <c r="I227" s="70">
        <v>53.918898419432026</v>
      </c>
      <c r="J227" s="70">
        <v>80.878347629148038</v>
      </c>
      <c r="K227" s="70">
        <v>30.283829237135805</v>
      </c>
      <c r="L227" s="71">
        <v>0</v>
      </c>
      <c r="M227" s="71">
        <v>0</v>
      </c>
      <c r="N227" s="71">
        <v>0</v>
      </c>
      <c r="O227" s="71">
        <v>0</v>
      </c>
      <c r="P227" s="70">
        <v>0</v>
      </c>
      <c r="Q227" s="70">
        <v>0</v>
      </c>
      <c r="R227" s="70">
        <v>0</v>
      </c>
      <c r="S227" s="70">
        <v>0</v>
      </c>
      <c r="T227" s="71">
        <v>0</v>
      </c>
      <c r="U227" s="71">
        <v>0</v>
      </c>
      <c r="V227" s="71">
        <v>0</v>
      </c>
      <c r="W227" s="71">
        <v>0</v>
      </c>
      <c r="X227" s="70">
        <v>0</v>
      </c>
      <c r="Y227" s="70">
        <v>0</v>
      </c>
      <c r="Z227" s="70">
        <v>0</v>
      </c>
      <c r="AA227" s="70">
        <v>0</v>
      </c>
      <c r="AB227" s="71">
        <v>45</v>
      </c>
      <c r="AC227" s="71">
        <v>36</v>
      </c>
      <c r="AD227" s="71">
        <v>54</v>
      </c>
      <c r="AE227" s="71">
        <v>13.5</v>
      </c>
      <c r="AF227" s="70">
        <v>0</v>
      </c>
      <c r="AG227" s="70">
        <v>0</v>
      </c>
      <c r="AH227" s="70">
        <v>0</v>
      </c>
      <c r="AI227" s="70">
        <v>0</v>
      </c>
      <c r="AJ227" s="72" t="s">
        <v>478</v>
      </c>
    </row>
    <row r="228" spans="1:36" customFormat="1" x14ac:dyDescent="0.25">
      <c r="A228" s="68">
        <v>222</v>
      </c>
      <c r="B228" s="69" t="s">
        <v>238</v>
      </c>
      <c r="C228" s="69" t="s">
        <v>251</v>
      </c>
      <c r="D228" s="69" t="s">
        <v>678</v>
      </c>
      <c r="E228" s="69" t="s">
        <v>248</v>
      </c>
      <c r="F228" s="69" t="s">
        <v>249</v>
      </c>
      <c r="G228" s="69" t="s">
        <v>237</v>
      </c>
      <c r="H228" s="70">
        <v>11.270795907209248</v>
      </c>
      <c r="I228" s="70">
        <v>9.0166367257673983</v>
      </c>
      <c r="J228" s="70">
        <v>13.524955088651097</v>
      </c>
      <c r="K228" s="70">
        <v>0.84687226921309855</v>
      </c>
      <c r="L228" s="71">
        <v>0</v>
      </c>
      <c r="M228" s="71">
        <v>0</v>
      </c>
      <c r="N228" s="71">
        <v>0</v>
      </c>
      <c r="O228" s="71">
        <v>0</v>
      </c>
      <c r="P228" s="70">
        <v>98</v>
      </c>
      <c r="Q228" s="70">
        <v>78.400000000000006</v>
      </c>
      <c r="R228" s="70">
        <v>100</v>
      </c>
      <c r="S228" s="70">
        <v>23.742222222222253</v>
      </c>
      <c r="T228" s="71">
        <v>99</v>
      </c>
      <c r="U228" s="71">
        <v>79.2</v>
      </c>
      <c r="V228" s="71">
        <v>100</v>
      </c>
      <c r="W228" s="71">
        <v>22.935555555555563</v>
      </c>
      <c r="X228" s="70">
        <v>0</v>
      </c>
      <c r="Y228" s="70">
        <v>0</v>
      </c>
      <c r="Z228" s="70">
        <v>0</v>
      </c>
      <c r="AA228" s="70">
        <v>0</v>
      </c>
      <c r="AB228" s="71">
        <v>100</v>
      </c>
      <c r="AC228" s="71">
        <v>80</v>
      </c>
      <c r="AD228" s="71">
        <v>100</v>
      </c>
      <c r="AE228" s="71">
        <v>22.222222222222221</v>
      </c>
      <c r="AF228" s="70">
        <v>0</v>
      </c>
      <c r="AG228" s="70">
        <v>0</v>
      </c>
      <c r="AH228" s="70">
        <v>0</v>
      </c>
      <c r="AI228" s="70">
        <v>0</v>
      </c>
      <c r="AJ228" s="72" t="s">
        <v>478</v>
      </c>
    </row>
    <row r="229" spans="1:36" customFormat="1" x14ac:dyDescent="0.25">
      <c r="A229" s="68">
        <v>223</v>
      </c>
      <c r="B229" s="69" t="s">
        <v>238</v>
      </c>
      <c r="C229" s="69" t="s">
        <v>251</v>
      </c>
      <c r="D229" s="69" t="s">
        <v>679</v>
      </c>
      <c r="E229" s="69" t="s">
        <v>248</v>
      </c>
      <c r="F229" s="69" t="s">
        <v>249</v>
      </c>
      <c r="G229" s="69" t="s">
        <v>237</v>
      </c>
      <c r="H229" s="70">
        <v>99.851443123938893</v>
      </c>
      <c r="I229" s="70">
        <v>79.881154499151108</v>
      </c>
      <c r="J229" s="70">
        <v>100</v>
      </c>
      <c r="K229" s="70">
        <v>22.322290033049587</v>
      </c>
      <c r="L229" s="71">
        <v>0</v>
      </c>
      <c r="M229" s="71">
        <v>0</v>
      </c>
      <c r="N229" s="71">
        <v>0</v>
      </c>
      <c r="O229" s="71">
        <v>0</v>
      </c>
      <c r="P229" s="70">
        <v>32.596692454536331</v>
      </c>
      <c r="Q229" s="70">
        <v>26.077353963629065</v>
      </c>
      <c r="R229" s="70">
        <v>39.116030945443597</v>
      </c>
      <c r="S229" s="70">
        <v>7.0836290598374863</v>
      </c>
      <c r="T229" s="71">
        <v>0.38908677234615596</v>
      </c>
      <c r="U229" s="71">
        <v>0.31126941787692475</v>
      </c>
      <c r="V229" s="71">
        <v>0.46690412681538718</v>
      </c>
      <c r="W229" s="71">
        <v>1.0092567760983336E-3</v>
      </c>
      <c r="X229" s="70">
        <v>0</v>
      </c>
      <c r="Y229" s="70">
        <v>0</v>
      </c>
      <c r="Z229" s="70">
        <v>0</v>
      </c>
      <c r="AA229" s="70">
        <v>0</v>
      </c>
      <c r="AB229" s="71">
        <v>99.53</v>
      </c>
      <c r="AC229" s="71">
        <v>79.623999999999995</v>
      </c>
      <c r="AD229" s="71">
        <v>100</v>
      </c>
      <c r="AE229" s="71">
        <v>22.545864222222409</v>
      </c>
      <c r="AF229" s="70">
        <v>0</v>
      </c>
      <c r="AG229" s="70">
        <v>0</v>
      </c>
      <c r="AH229" s="70">
        <v>0</v>
      </c>
      <c r="AI229" s="70">
        <v>0</v>
      </c>
      <c r="AJ229" s="72" t="s">
        <v>478</v>
      </c>
    </row>
    <row r="230" spans="1:36" customFormat="1" x14ac:dyDescent="0.25">
      <c r="A230" s="68">
        <v>224</v>
      </c>
      <c r="B230" s="69" t="s">
        <v>238</v>
      </c>
      <c r="C230" s="69" t="s">
        <v>251</v>
      </c>
      <c r="D230" s="69" t="s">
        <v>680</v>
      </c>
      <c r="E230" s="69" t="s">
        <v>248</v>
      </c>
      <c r="F230" s="69" t="s">
        <v>249</v>
      </c>
      <c r="G230" s="69" t="s">
        <v>237</v>
      </c>
      <c r="H230" s="70">
        <v>100</v>
      </c>
      <c r="I230" s="70">
        <v>80</v>
      </c>
      <c r="J230" s="70">
        <v>100</v>
      </c>
      <c r="K230" s="70">
        <v>22.222222222222221</v>
      </c>
      <c r="L230" s="71">
        <v>0</v>
      </c>
      <c r="M230" s="71">
        <v>0</v>
      </c>
      <c r="N230" s="71">
        <v>0</v>
      </c>
      <c r="O230" s="71">
        <v>0</v>
      </c>
      <c r="P230" s="70">
        <v>38.818739497478894</v>
      </c>
      <c r="Q230" s="70">
        <v>31.054991597983115</v>
      </c>
      <c r="R230" s="70">
        <v>46.58248739697467</v>
      </c>
      <c r="S230" s="70">
        <v>10.045963574487574</v>
      </c>
      <c r="T230" s="71">
        <v>2.6477459469127158</v>
      </c>
      <c r="U230" s="71">
        <v>2.1181967575301726</v>
      </c>
      <c r="V230" s="71">
        <v>3.1772951362952591</v>
      </c>
      <c r="W230" s="71">
        <v>4.6737057329284779E-2</v>
      </c>
      <c r="X230" s="70">
        <v>0</v>
      </c>
      <c r="Y230" s="70">
        <v>0</v>
      </c>
      <c r="Z230" s="70">
        <v>0</v>
      </c>
      <c r="AA230" s="70">
        <v>0</v>
      </c>
      <c r="AB230" s="71">
        <v>99.53</v>
      </c>
      <c r="AC230" s="71">
        <v>79.623999999999995</v>
      </c>
      <c r="AD230" s="71">
        <v>100</v>
      </c>
      <c r="AE230" s="71">
        <v>22.545864222222409</v>
      </c>
      <c r="AF230" s="70">
        <v>0</v>
      </c>
      <c r="AG230" s="70">
        <v>0</v>
      </c>
      <c r="AH230" s="70">
        <v>0</v>
      </c>
      <c r="AI230" s="70">
        <v>0</v>
      </c>
      <c r="AJ230" s="72" t="s">
        <v>478</v>
      </c>
    </row>
    <row r="231" spans="1:36" customFormat="1" x14ac:dyDescent="0.25">
      <c r="A231" s="68">
        <v>225</v>
      </c>
      <c r="B231" s="69" t="s">
        <v>238</v>
      </c>
      <c r="C231" s="69" t="s">
        <v>251</v>
      </c>
      <c r="D231" s="69" t="s">
        <v>681</v>
      </c>
      <c r="E231" s="69" t="s">
        <v>248</v>
      </c>
      <c r="F231" s="69" t="s">
        <v>249</v>
      </c>
      <c r="G231" s="69" t="s">
        <v>237</v>
      </c>
      <c r="H231" s="70">
        <v>98.762026032823997</v>
      </c>
      <c r="I231" s="70">
        <v>79.009620826259194</v>
      </c>
      <c r="J231" s="70">
        <v>100</v>
      </c>
      <c r="K231" s="70">
        <v>23.119058579031844</v>
      </c>
      <c r="L231" s="71">
        <v>0</v>
      </c>
      <c r="M231" s="71">
        <v>0</v>
      </c>
      <c r="N231" s="71">
        <v>0</v>
      </c>
      <c r="O231" s="71">
        <v>0</v>
      </c>
      <c r="P231" s="70">
        <v>12.509264705882355</v>
      </c>
      <c r="Q231" s="70">
        <v>10.007411764705884</v>
      </c>
      <c r="R231" s="70">
        <v>15.011117647058827</v>
      </c>
      <c r="S231" s="70">
        <v>1.0432113565455614</v>
      </c>
      <c r="T231" s="71">
        <v>1.6142209572000843</v>
      </c>
      <c r="U231" s="71">
        <v>1.2913767657600674</v>
      </c>
      <c r="V231" s="71">
        <v>1.9370651486401012</v>
      </c>
      <c r="W231" s="71">
        <v>1.7371395324426379E-2</v>
      </c>
      <c r="X231" s="70">
        <v>0</v>
      </c>
      <c r="Y231" s="70">
        <v>0</v>
      </c>
      <c r="Z231" s="70">
        <v>0</v>
      </c>
      <c r="AA231" s="70">
        <v>0</v>
      </c>
      <c r="AB231" s="71">
        <v>99.96</v>
      </c>
      <c r="AC231" s="71">
        <v>79.967999999999989</v>
      </c>
      <c r="AD231" s="71">
        <v>100</v>
      </c>
      <c r="AE231" s="71">
        <v>22.248963555555545</v>
      </c>
      <c r="AF231" s="70">
        <v>0</v>
      </c>
      <c r="AG231" s="70">
        <v>0</v>
      </c>
      <c r="AH231" s="70">
        <v>0</v>
      </c>
      <c r="AI231" s="70">
        <v>0</v>
      </c>
      <c r="AJ231" s="72" t="s">
        <v>478</v>
      </c>
    </row>
    <row r="232" spans="1:36" customFormat="1" x14ac:dyDescent="0.25">
      <c r="A232" s="68">
        <v>226</v>
      </c>
      <c r="B232" s="69" t="s">
        <v>238</v>
      </c>
      <c r="C232" s="69" t="s">
        <v>251</v>
      </c>
      <c r="D232" s="69" t="s">
        <v>682</v>
      </c>
      <c r="E232" s="69" t="s">
        <v>248</v>
      </c>
      <c r="F232" s="69" t="s">
        <v>249</v>
      </c>
      <c r="G232" s="69" t="s">
        <v>237</v>
      </c>
      <c r="H232" s="70">
        <v>99.979922558439696</v>
      </c>
      <c r="I232" s="70">
        <v>79.98393804675176</v>
      </c>
      <c r="J232" s="70">
        <v>100</v>
      </c>
      <c r="K232" s="70">
        <v>22.235625994766451</v>
      </c>
      <c r="L232" s="71">
        <v>0</v>
      </c>
      <c r="M232" s="71">
        <v>0</v>
      </c>
      <c r="N232" s="71">
        <v>0</v>
      </c>
      <c r="O232" s="71">
        <v>0</v>
      </c>
      <c r="P232" s="70">
        <v>100</v>
      </c>
      <c r="Q232" s="70">
        <v>80</v>
      </c>
      <c r="R232" s="70">
        <v>100</v>
      </c>
      <c r="S232" s="70">
        <v>22.222222222222221</v>
      </c>
      <c r="T232" s="71">
        <v>1.0560439210118204</v>
      </c>
      <c r="U232" s="71">
        <v>0.84483513680945632</v>
      </c>
      <c r="V232" s="71">
        <v>1.2672527052141844</v>
      </c>
      <c r="W232" s="71">
        <v>7.4348584207068399E-3</v>
      </c>
      <c r="X232" s="70">
        <v>0</v>
      </c>
      <c r="Y232" s="70">
        <v>0</v>
      </c>
      <c r="Z232" s="70">
        <v>0</v>
      </c>
      <c r="AA232" s="70">
        <v>0</v>
      </c>
      <c r="AB232" s="71">
        <v>99.92</v>
      </c>
      <c r="AC232" s="71">
        <v>79.936000000000007</v>
      </c>
      <c r="AD232" s="71">
        <v>100</v>
      </c>
      <c r="AE232" s="71">
        <v>22.275854222222126</v>
      </c>
      <c r="AF232" s="70">
        <v>0</v>
      </c>
      <c r="AG232" s="70">
        <v>0</v>
      </c>
      <c r="AH232" s="70">
        <v>0</v>
      </c>
      <c r="AI232" s="70">
        <v>0</v>
      </c>
      <c r="AJ232" s="72" t="s">
        <v>478</v>
      </c>
    </row>
    <row r="233" spans="1:36" customFormat="1" x14ac:dyDescent="0.25">
      <c r="A233" s="68">
        <v>227</v>
      </c>
      <c r="B233" s="69" t="s">
        <v>238</v>
      </c>
      <c r="C233" s="69" t="s">
        <v>251</v>
      </c>
      <c r="D233" s="69" t="s">
        <v>252</v>
      </c>
      <c r="E233" s="69" t="s">
        <v>248</v>
      </c>
      <c r="F233" s="69" t="s">
        <v>249</v>
      </c>
      <c r="G233" s="69" t="s">
        <v>237</v>
      </c>
      <c r="H233" s="70">
        <v>99.995602716468596</v>
      </c>
      <c r="I233" s="70">
        <v>79.996482173174883</v>
      </c>
      <c r="J233" s="70">
        <v>100</v>
      </c>
      <c r="K233" s="70">
        <v>22.225154646927773</v>
      </c>
      <c r="L233" s="71">
        <v>0</v>
      </c>
      <c r="M233" s="71">
        <v>0</v>
      </c>
      <c r="N233" s="71">
        <v>0</v>
      </c>
      <c r="O233" s="71">
        <v>0</v>
      </c>
      <c r="P233" s="70">
        <v>65.00812258451694</v>
      </c>
      <c r="Q233" s="70">
        <v>52.006498067613549</v>
      </c>
      <c r="R233" s="70">
        <v>78.009747101420331</v>
      </c>
      <c r="S233" s="70">
        <v>28.173706679757185</v>
      </c>
      <c r="T233" s="71">
        <v>0.12911184387415117</v>
      </c>
      <c r="U233" s="71">
        <v>0.10328947509932093</v>
      </c>
      <c r="V233" s="71">
        <v>0.15493421264898141</v>
      </c>
      <c r="W233" s="71">
        <v>1.111324548572218E-4</v>
      </c>
      <c r="X233" s="70">
        <v>0</v>
      </c>
      <c r="Y233" s="70">
        <v>0</v>
      </c>
      <c r="Z233" s="70">
        <v>0</v>
      </c>
      <c r="AA233" s="70">
        <v>0</v>
      </c>
      <c r="AB233" s="71">
        <v>99.98</v>
      </c>
      <c r="AC233" s="71">
        <v>79.984000000000009</v>
      </c>
      <c r="AD233" s="71">
        <v>100</v>
      </c>
      <c r="AE233" s="71">
        <v>22.235574222222162</v>
      </c>
      <c r="AF233" s="70">
        <v>0</v>
      </c>
      <c r="AG233" s="70">
        <v>0</v>
      </c>
      <c r="AH233" s="70">
        <v>0</v>
      </c>
      <c r="AI233" s="70">
        <v>0</v>
      </c>
      <c r="AJ233" s="72" t="s">
        <v>478</v>
      </c>
    </row>
    <row r="234" spans="1:36" customFormat="1" x14ac:dyDescent="0.25">
      <c r="A234" s="68">
        <v>228</v>
      </c>
      <c r="B234" s="69" t="s">
        <v>238</v>
      </c>
      <c r="C234" s="69" t="s">
        <v>251</v>
      </c>
      <c r="D234" s="69" t="s">
        <v>683</v>
      </c>
      <c r="E234" s="69" t="s">
        <v>248</v>
      </c>
      <c r="F234" s="69" t="s">
        <v>249</v>
      </c>
      <c r="G234" s="69" t="s">
        <v>237</v>
      </c>
      <c r="H234" s="70">
        <v>99.942725059831858</v>
      </c>
      <c r="I234" s="70">
        <v>79.954180047865492</v>
      </c>
      <c r="J234" s="70">
        <v>100</v>
      </c>
      <c r="K234" s="70">
        <v>22.260558601877062</v>
      </c>
      <c r="L234" s="71">
        <v>0</v>
      </c>
      <c r="M234" s="71">
        <v>0</v>
      </c>
      <c r="N234" s="71">
        <v>0</v>
      </c>
      <c r="O234" s="71">
        <v>0</v>
      </c>
      <c r="P234" s="70">
        <v>73.052937742158093</v>
      </c>
      <c r="Q234" s="70">
        <v>58.442350193726476</v>
      </c>
      <c r="R234" s="70">
        <v>87.663525290589718</v>
      </c>
      <c r="S234" s="70">
        <v>35.578211418397537</v>
      </c>
      <c r="T234" s="71">
        <v>6.2284872693196346E-2</v>
      </c>
      <c r="U234" s="71">
        <v>4.9827898154557078E-2</v>
      </c>
      <c r="V234" s="71">
        <v>7.474184723183562E-2</v>
      </c>
      <c r="W234" s="71">
        <v>2.5862702442717804E-5</v>
      </c>
      <c r="X234" s="70">
        <v>0</v>
      </c>
      <c r="Y234" s="70">
        <v>0</v>
      </c>
      <c r="Z234" s="70">
        <v>0</v>
      </c>
      <c r="AA234" s="70">
        <v>0</v>
      </c>
      <c r="AB234" s="71">
        <v>99.88</v>
      </c>
      <c r="AC234" s="71">
        <v>79.903999999999996</v>
      </c>
      <c r="AD234" s="71">
        <v>100</v>
      </c>
      <c r="AE234" s="71">
        <v>22.302894222222069</v>
      </c>
      <c r="AF234" s="70">
        <v>0</v>
      </c>
      <c r="AG234" s="70">
        <v>0</v>
      </c>
      <c r="AH234" s="70">
        <v>0</v>
      </c>
      <c r="AI234" s="70">
        <v>0</v>
      </c>
      <c r="AJ234" s="72" t="s">
        <v>478</v>
      </c>
    </row>
    <row r="235" spans="1:36" customFormat="1" x14ac:dyDescent="0.25">
      <c r="A235" s="68">
        <v>229</v>
      </c>
      <c r="B235" s="69" t="s">
        <v>238</v>
      </c>
      <c r="C235" s="69" t="s">
        <v>251</v>
      </c>
      <c r="D235" s="69" t="s">
        <v>684</v>
      </c>
      <c r="E235" s="69" t="s">
        <v>248</v>
      </c>
      <c r="F235" s="69" t="s">
        <v>249</v>
      </c>
      <c r="G235" s="69" t="s">
        <v>237</v>
      </c>
      <c r="H235" s="70">
        <v>99.974441827774442</v>
      </c>
      <c r="I235" s="70">
        <v>79.979553462219556</v>
      </c>
      <c r="J235" s="70">
        <v>100</v>
      </c>
      <c r="K235" s="70">
        <v>22.239291487313697</v>
      </c>
      <c r="L235" s="71">
        <v>0</v>
      </c>
      <c r="M235" s="71">
        <v>0</v>
      </c>
      <c r="N235" s="71">
        <v>0</v>
      </c>
      <c r="O235" s="71">
        <v>0</v>
      </c>
      <c r="P235" s="70">
        <v>52.279249295082408</v>
      </c>
      <c r="Q235" s="70">
        <v>41.823399436065927</v>
      </c>
      <c r="R235" s="70">
        <v>62.73509915409889</v>
      </c>
      <c r="S235" s="70">
        <v>18.22079937904919</v>
      </c>
      <c r="T235" s="71">
        <v>4.1740830090726246E-2</v>
      </c>
      <c r="U235" s="71">
        <v>3.3392664072580999E-2</v>
      </c>
      <c r="V235" s="71">
        <v>5.0088996108871492E-2</v>
      </c>
      <c r="W235" s="71">
        <v>1.1615312644419202E-5</v>
      </c>
      <c r="X235" s="70">
        <v>0</v>
      </c>
      <c r="Y235" s="70">
        <v>0</v>
      </c>
      <c r="Z235" s="70">
        <v>0</v>
      </c>
      <c r="AA235" s="70">
        <v>0</v>
      </c>
      <c r="AB235" s="71">
        <v>99.76</v>
      </c>
      <c r="AC235" s="71">
        <v>79.808000000000007</v>
      </c>
      <c r="AD235" s="71">
        <v>100</v>
      </c>
      <c r="AE235" s="71">
        <v>22.384910222221958</v>
      </c>
      <c r="AF235" s="70">
        <v>0</v>
      </c>
      <c r="AG235" s="70">
        <v>0</v>
      </c>
      <c r="AH235" s="70">
        <v>0</v>
      </c>
      <c r="AI235" s="70">
        <v>0</v>
      </c>
      <c r="AJ235" s="72" t="s">
        <v>478</v>
      </c>
    </row>
    <row r="236" spans="1:36" customFormat="1" x14ac:dyDescent="0.25">
      <c r="A236" s="68">
        <v>230</v>
      </c>
      <c r="B236" s="69" t="s">
        <v>238</v>
      </c>
      <c r="C236" s="69" t="s">
        <v>251</v>
      </c>
      <c r="D236" s="69" t="s">
        <v>253</v>
      </c>
      <c r="E236" s="69" t="s">
        <v>248</v>
      </c>
      <c r="F236" s="69" t="s">
        <v>249</v>
      </c>
      <c r="G236" s="69" t="s">
        <v>237</v>
      </c>
      <c r="H236" s="70">
        <v>99.987424197177162</v>
      </c>
      <c r="I236" s="70">
        <v>79.989939357741733</v>
      </c>
      <c r="J236" s="70">
        <v>100</v>
      </c>
      <c r="K236" s="70">
        <v>22.23061347114243</v>
      </c>
      <c r="L236" s="71">
        <v>0</v>
      </c>
      <c r="M236" s="71">
        <v>0</v>
      </c>
      <c r="N236" s="71">
        <v>0</v>
      </c>
      <c r="O236" s="71">
        <v>0</v>
      </c>
      <c r="P236" s="70">
        <v>79.030373593462343</v>
      </c>
      <c r="Q236" s="70">
        <v>63.224298874769872</v>
      </c>
      <c r="R236" s="70">
        <v>94.836448312154815</v>
      </c>
      <c r="S236" s="70">
        <v>41.638666335481702</v>
      </c>
      <c r="T236" s="71">
        <v>3.2585050499069929E-2</v>
      </c>
      <c r="U236" s="71">
        <v>2.6068040399255941E-2</v>
      </c>
      <c r="V236" s="71">
        <v>3.9102060598883916E-2</v>
      </c>
      <c r="W236" s="71">
        <v>7.0785701068462326E-6</v>
      </c>
      <c r="X236" s="70">
        <v>0</v>
      </c>
      <c r="Y236" s="70">
        <v>0</v>
      </c>
      <c r="Z236" s="70">
        <v>0</v>
      </c>
      <c r="AA236" s="70">
        <v>0</v>
      </c>
      <c r="AB236" s="71">
        <v>99.94</v>
      </c>
      <c r="AC236" s="71">
        <v>79.951999999999998</v>
      </c>
      <c r="AD236" s="71">
        <v>100</v>
      </c>
      <c r="AE236" s="71">
        <v>22.262390222222265</v>
      </c>
      <c r="AF236" s="70">
        <v>0</v>
      </c>
      <c r="AG236" s="70">
        <v>0</v>
      </c>
      <c r="AH236" s="70">
        <v>0</v>
      </c>
      <c r="AI236" s="70">
        <v>0</v>
      </c>
      <c r="AJ236" s="72" t="s">
        <v>478</v>
      </c>
    </row>
    <row r="237" spans="1:36" customFormat="1" x14ac:dyDescent="0.25">
      <c r="A237" s="68">
        <v>231</v>
      </c>
      <c r="B237" s="69" t="s">
        <v>273</v>
      </c>
      <c r="C237" s="69" t="s">
        <v>273</v>
      </c>
      <c r="D237" s="69" t="s">
        <v>685</v>
      </c>
      <c r="E237" s="69" t="s">
        <v>842</v>
      </c>
      <c r="F237" s="69" t="s">
        <v>686</v>
      </c>
      <c r="G237" s="69" t="s">
        <v>237</v>
      </c>
      <c r="H237" s="70">
        <v>2.48E-5</v>
      </c>
      <c r="I237" s="70">
        <v>1.984E-5</v>
      </c>
      <c r="J237" s="70">
        <v>2.976E-5</v>
      </c>
      <c r="K237" s="70">
        <v>4.1002666666666589E-12</v>
      </c>
      <c r="L237" s="71">
        <v>2.48E-5</v>
      </c>
      <c r="M237" s="71">
        <v>1.984E-5</v>
      </c>
      <c r="N237" s="71">
        <v>2.976E-5</v>
      </c>
      <c r="O237" s="71">
        <v>4.1002666666666589E-12</v>
      </c>
      <c r="P237" s="70">
        <v>2.48E-5</v>
      </c>
      <c r="Q237" s="70">
        <v>1.984E-5</v>
      </c>
      <c r="R237" s="70">
        <v>2.976E-5</v>
      </c>
      <c r="S237" s="70">
        <v>4.1002666666666589E-12</v>
      </c>
      <c r="T237" s="71">
        <v>2.48E-5</v>
      </c>
      <c r="U237" s="71">
        <v>1.984E-5</v>
      </c>
      <c r="V237" s="71">
        <v>2.976E-5</v>
      </c>
      <c r="W237" s="71">
        <v>4.1002666666666589E-12</v>
      </c>
      <c r="X237" s="70">
        <v>2.48E-5</v>
      </c>
      <c r="Y237" s="70">
        <v>1.984E-5</v>
      </c>
      <c r="Z237" s="70">
        <v>2.976E-5</v>
      </c>
      <c r="AA237" s="70">
        <v>4.1002666666666589E-12</v>
      </c>
      <c r="AB237" s="71">
        <v>2.48E-5</v>
      </c>
      <c r="AC237" s="71">
        <v>1.984E-5</v>
      </c>
      <c r="AD237" s="71">
        <v>2.976E-5</v>
      </c>
      <c r="AE237" s="71">
        <v>4.1002666666666589E-12</v>
      </c>
      <c r="AF237" s="70">
        <v>2.48E-5</v>
      </c>
      <c r="AG237" s="70">
        <v>1.984E-5</v>
      </c>
      <c r="AH237" s="70">
        <v>2.976E-5</v>
      </c>
      <c r="AI237" s="70">
        <v>4.1002666666666589E-12</v>
      </c>
      <c r="AJ237" s="72" t="s">
        <v>478</v>
      </c>
    </row>
    <row r="238" spans="1:36" customFormat="1" x14ac:dyDescent="0.25">
      <c r="A238" s="68">
        <v>232</v>
      </c>
      <c r="B238" s="69" t="s">
        <v>273</v>
      </c>
      <c r="C238" s="69" t="s">
        <v>273</v>
      </c>
      <c r="D238" s="69" t="s">
        <v>687</v>
      </c>
      <c r="E238" s="69" t="s">
        <v>1037</v>
      </c>
      <c r="F238" s="69" t="s">
        <v>688</v>
      </c>
      <c r="G238" s="69" t="s">
        <v>237</v>
      </c>
      <c r="H238" s="70">
        <v>0</v>
      </c>
      <c r="I238" s="70">
        <v>0</v>
      </c>
      <c r="J238" s="70">
        <v>0</v>
      </c>
      <c r="K238" s="70">
        <v>0</v>
      </c>
      <c r="L238" s="71">
        <v>25</v>
      </c>
      <c r="M238" s="71">
        <v>5</v>
      </c>
      <c r="N238" s="71">
        <v>100</v>
      </c>
      <c r="O238" s="71">
        <v>418.05555555555554</v>
      </c>
      <c r="P238" s="70">
        <v>0</v>
      </c>
      <c r="Q238" s="70">
        <v>0</v>
      </c>
      <c r="R238" s="70">
        <v>0</v>
      </c>
      <c r="S238" s="70">
        <v>0</v>
      </c>
      <c r="T238" s="71">
        <v>0</v>
      </c>
      <c r="U238" s="71">
        <v>0</v>
      </c>
      <c r="V238" s="71">
        <v>0</v>
      </c>
      <c r="W238" s="71">
        <v>0</v>
      </c>
      <c r="X238" s="70">
        <v>25</v>
      </c>
      <c r="Y238" s="70">
        <v>5</v>
      </c>
      <c r="Z238" s="70">
        <v>100</v>
      </c>
      <c r="AA238" s="70">
        <v>418.05555555555554</v>
      </c>
      <c r="AB238" s="71">
        <v>25</v>
      </c>
      <c r="AC238" s="71">
        <v>5</v>
      </c>
      <c r="AD238" s="71">
        <v>100</v>
      </c>
      <c r="AE238" s="71">
        <v>418.05555555555554</v>
      </c>
      <c r="AF238" s="70">
        <v>0</v>
      </c>
      <c r="AG238" s="70">
        <v>0</v>
      </c>
      <c r="AH238" s="70">
        <v>0</v>
      </c>
      <c r="AI238" s="70">
        <v>0</v>
      </c>
      <c r="AJ238" s="72" t="s">
        <v>689</v>
      </c>
    </row>
    <row r="239" spans="1:36" customFormat="1" x14ac:dyDescent="0.25">
      <c r="A239" s="68">
        <v>233</v>
      </c>
      <c r="B239" s="69" t="s">
        <v>273</v>
      </c>
      <c r="C239" s="69" t="s">
        <v>273</v>
      </c>
      <c r="D239" s="69" t="s">
        <v>690</v>
      </c>
      <c r="E239" s="69" t="s">
        <v>1036</v>
      </c>
      <c r="F239" s="69" t="s">
        <v>688</v>
      </c>
      <c r="G239" s="69" t="s">
        <v>237</v>
      </c>
      <c r="H239" s="70">
        <v>0</v>
      </c>
      <c r="I239" s="70">
        <v>0</v>
      </c>
      <c r="J239" s="70">
        <v>0</v>
      </c>
      <c r="K239" s="70">
        <v>0</v>
      </c>
      <c r="L239" s="71">
        <v>25</v>
      </c>
      <c r="M239" s="71">
        <v>5</v>
      </c>
      <c r="N239" s="71">
        <v>100</v>
      </c>
      <c r="O239" s="71">
        <v>418.05555555555554</v>
      </c>
      <c r="P239" s="70">
        <v>0</v>
      </c>
      <c r="Q239" s="70">
        <v>0</v>
      </c>
      <c r="R239" s="70">
        <v>0</v>
      </c>
      <c r="S239" s="70">
        <v>0</v>
      </c>
      <c r="T239" s="71">
        <v>0</v>
      </c>
      <c r="U239" s="71">
        <v>0</v>
      </c>
      <c r="V239" s="71">
        <v>0</v>
      </c>
      <c r="W239" s="71">
        <v>0</v>
      </c>
      <c r="X239" s="70">
        <v>25</v>
      </c>
      <c r="Y239" s="70">
        <v>5</v>
      </c>
      <c r="Z239" s="70">
        <v>100</v>
      </c>
      <c r="AA239" s="70">
        <v>418.05555555555554</v>
      </c>
      <c r="AB239" s="71">
        <v>25</v>
      </c>
      <c r="AC239" s="71">
        <v>5</v>
      </c>
      <c r="AD239" s="71">
        <v>100</v>
      </c>
      <c r="AE239" s="71">
        <v>418.05555555555554</v>
      </c>
      <c r="AF239" s="70">
        <v>0</v>
      </c>
      <c r="AG239" s="70">
        <v>0</v>
      </c>
      <c r="AH239" s="70">
        <v>0</v>
      </c>
      <c r="AI239" s="70">
        <v>0</v>
      </c>
      <c r="AJ239" s="72" t="s">
        <v>689</v>
      </c>
    </row>
    <row r="240" spans="1:36" customFormat="1" x14ac:dyDescent="0.25">
      <c r="A240" s="68">
        <v>234</v>
      </c>
      <c r="B240" s="69" t="s">
        <v>273</v>
      </c>
      <c r="C240" s="69" t="s">
        <v>273</v>
      </c>
      <c r="D240" s="69" t="s">
        <v>691</v>
      </c>
      <c r="E240" s="69" t="s">
        <v>692</v>
      </c>
      <c r="F240" s="69" t="s">
        <v>688</v>
      </c>
      <c r="G240" s="69" t="s">
        <v>237</v>
      </c>
      <c r="H240" s="70">
        <v>0</v>
      </c>
      <c r="I240" s="70">
        <v>0</v>
      </c>
      <c r="J240" s="70">
        <v>0</v>
      </c>
      <c r="K240" s="70">
        <v>0</v>
      </c>
      <c r="L240" s="71">
        <v>0</v>
      </c>
      <c r="M240" s="71">
        <v>0</v>
      </c>
      <c r="N240" s="71">
        <v>0</v>
      </c>
      <c r="O240" s="71">
        <v>0</v>
      </c>
      <c r="P240" s="70">
        <v>0</v>
      </c>
      <c r="Q240" s="70">
        <v>0</v>
      </c>
      <c r="R240" s="70">
        <v>0</v>
      </c>
      <c r="S240" s="70">
        <v>0</v>
      </c>
      <c r="T240" s="71">
        <v>0</v>
      </c>
      <c r="U240" s="71">
        <v>0</v>
      </c>
      <c r="V240" s="71">
        <v>0</v>
      </c>
      <c r="W240" s="71">
        <v>0</v>
      </c>
      <c r="X240" s="70">
        <v>0</v>
      </c>
      <c r="Y240" s="70">
        <v>0</v>
      </c>
      <c r="Z240" s="70">
        <v>0</v>
      </c>
      <c r="AA240" s="70">
        <v>0</v>
      </c>
      <c r="AB240" s="71">
        <v>25</v>
      </c>
      <c r="AC240" s="71">
        <v>5</v>
      </c>
      <c r="AD240" s="71">
        <v>100</v>
      </c>
      <c r="AE240" s="71">
        <v>418.05555555555554</v>
      </c>
      <c r="AF240" s="70">
        <v>0</v>
      </c>
      <c r="AG240" s="70">
        <v>0</v>
      </c>
      <c r="AH240" s="70">
        <v>0</v>
      </c>
      <c r="AI240" s="70">
        <v>0</v>
      </c>
      <c r="AJ240" s="72" t="s">
        <v>689</v>
      </c>
    </row>
    <row r="241" spans="1:36" customFormat="1" x14ac:dyDescent="0.25">
      <c r="A241" s="68">
        <v>235</v>
      </c>
      <c r="B241" s="69" t="s">
        <v>273</v>
      </c>
      <c r="C241" s="69" t="s">
        <v>273</v>
      </c>
      <c r="D241" s="69" t="s">
        <v>693</v>
      </c>
      <c r="E241" s="69" t="s">
        <v>694</v>
      </c>
      <c r="F241" s="69" t="s">
        <v>688</v>
      </c>
      <c r="G241" s="69" t="s">
        <v>237</v>
      </c>
      <c r="H241" s="70">
        <v>0</v>
      </c>
      <c r="I241" s="70">
        <v>0</v>
      </c>
      <c r="J241" s="70">
        <v>0</v>
      </c>
      <c r="K241" s="70">
        <v>0</v>
      </c>
      <c r="L241" s="71">
        <v>0</v>
      </c>
      <c r="M241" s="71">
        <v>0</v>
      </c>
      <c r="N241" s="71">
        <v>0</v>
      </c>
      <c r="O241" s="71">
        <v>0</v>
      </c>
      <c r="P241" s="70">
        <v>0</v>
      </c>
      <c r="Q241" s="70">
        <v>0</v>
      </c>
      <c r="R241" s="70">
        <v>0</v>
      </c>
      <c r="S241" s="70">
        <v>0</v>
      </c>
      <c r="T241" s="71">
        <v>0</v>
      </c>
      <c r="U241" s="71">
        <v>0</v>
      </c>
      <c r="V241" s="71">
        <v>0</v>
      </c>
      <c r="W241" s="71">
        <v>0</v>
      </c>
      <c r="X241" s="70">
        <v>0</v>
      </c>
      <c r="Y241" s="70">
        <v>0</v>
      </c>
      <c r="Z241" s="70">
        <v>0</v>
      </c>
      <c r="AA241" s="70">
        <v>0</v>
      </c>
      <c r="AB241" s="71">
        <v>25</v>
      </c>
      <c r="AC241" s="71">
        <v>5</v>
      </c>
      <c r="AD241" s="71">
        <v>100</v>
      </c>
      <c r="AE241" s="71">
        <v>418.05555555555554</v>
      </c>
      <c r="AF241" s="70">
        <v>0</v>
      </c>
      <c r="AG241" s="70">
        <v>0</v>
      </c>
      <c r="AH241" s="70">
        <v>0</v>
      </c>
      <c r="AI241" s="70">
        <v>0</v>
      </c>
      <c r="AJ241" s="72" t="s">
        <v>689</v>
      </c>
    </row>
    <row r="242" spans="1:36" customFormat="1" x14ac:dyDescent="0.25">
      <c r="A242" s="68">
        <v>236</v>
      </c>
      <c r="B242" s="69" t="s">
        <v>273</v>
      </c>
      <c r="C242" s="69" t="s">
        <v>273</v>
      </c>
      <c r="D242" s="69" t="s">
        <v>695</v>
      </c>
      <c r="E242" s="69" t="s">
        <v>696</v>
      </c>
      <c r="F242" s="69" t="s">
        <v>688</v>
      </c>
      <c r="G242" s="69" t="s">
        <v>237</v>
      </c>
      <c r="H242" s="70">
        <v>25</v>
      </c>
      <c r="I242" s="70">
        <v>5</v>
      </c>
      <c r="J242" s="70">
        <v>100</v>
      </c>
      <c r="K242" s="70">
        <v>418.05555555555554</v>
      </c>
      <c r="L242" s="71">
        <v>0</v>
      </c>
      <c r="M242" s="71">
        <v>0</v>
      </c>
      <c r="N242" s="71">
        <v>0</v>
      </c>
      <c r="O242" s="71">
        <v>0</v>
      </c>
      <c r="P242" s="70">
        <v>25</v>
      </c>
      <c r="Q242" s="70">
        <v>5</v>
      </c>
      <c r="R242" s="70">
        <v>100</v>
      </c>
      <c r="S242" s="70">
        <v>418.05555555555554</v>
      </c>
      <c r="T242" s="71">
        <v>25</v>
      </c>
      <c r="U242" s="71">
        <v>5</v>
      </c>
      <c r="V242" s="71">
        <v>100</v>
      </c>
      <c r="W242" s="71">
        <v>418.05555555555554</v>
      </c>
      <c r="X242" s="70">
        <v>0</v>
      </c>
      <c r="Y242" s="70">
        <v>0</v>
      </c>
      <c r="Z242" s="70">
        <v>0</v>
      </c>
      <c r="AA242" s="70">
        <v>0</v>
      </c>
      <c r="AB242" s="71">
        <v>25</v>
      </c>
      <c r="AC242" s="71">
        <v>5</v>
      </c>
      <c r="AD242" s="71">
        <v>100</v>
      </c>
      <c r="AE242" s="71">
        <v>418.05555555555554</v>
      </c>
      <c r="AF242" s="70">
        <v>0</v>
      </c>
      <c r="AG242" s="70">
        <v>0</v>
      </c>
      <c r="AH242" s="70">
        <v>0</v>
      </c>
      <c r="AI242" s="70">
        <v>0</v>
      </c>
      <c r="AJ242" s="72" t="s">
        <v>689</v>
      </c>
    </row>
    <row r="243" spans="1:36" customFormat="1" x14ac:dyDescent="0.25">
      <c r="A243" s="68">
        <v>237</v>
      </c>
      <c r="B243" s="69" t="s">
        <v>273</v>
      </c>
      <c r="C243" s="69" t="s">
        <v>273</v>
      </c>
      <c r="D243" s="69" t="s">
        <v>697</v>
      </c>
      <c r="E243" s="69" t="s">
        <v>698</v>
      </c>
      <c r="F243" s="69" t="s">
        <v>688</v>
      </c>
      <c r="G243" s="69" t="s">
        <v>237</v>
      </c>
      <c r="H243" s="70">
        <v>0</v>
      </c>
      <c r="I243" s="70">
        <v>0</v>
      </c>
      <c r="J243" s="70">
        <v>0</v>
      </c>
      <c r="K243" s="70">
        <v>0</v>
      </c>
      <c r="L243" s="71">
        <v>0</v>
      </c>
      <c r="M243" s="71">
        <v>0</v>
      </c>
      <c r="N243" s="71">
        <v>0</v>
      </c>
      <c r="O243" s="71">
        <v>0</v>
      </c>
      <c r="P243" s="70">
        <v>0</v>
      </c>
      <c r="Q243" s="70">
        <v>0</v>
      </c>
      <c r="R243" s="70">
        <v>0</v>
      </c>
      <c r="S243" s="70">
        <v>0</v>
      </c>
      <c r="T243" s="71">
        <v>25</v>
      </c>
      <c r="U243" s="71">
        <v>5</v>
      </c>
      <c r="V243" s="71">
        <v>100</v>
      </c>
      <c r="W243" s="71">
        <v>418.05555555555554</v>
      </c>
      <c r="X243" s="70">
        <v>25</v>
      </c>
      <c r="Y243" s="70">
        <v>5</v>
      </c>
      <c r="Z243" s="70">
        <v>100</v>
      </c>
      <c r="AA243" s="70">
        <v>418.05555555555554</v>
      </c>
      <c r="AB243" s="71">
        <v>0</v>
      </c>
      <c r="AC243" s="71">
        <v>0</v>
      </c>
      <c r="AD243" s="71">
        <v>0</v>
      </c>
      <c r="AE243" s="71">
        <v>0</v>
      </c>
      <c r="AF243" s="70">
        <v>0</v>
      </c>
      <c r="AG243" s="70">
        <v>0</v>
      </c>
      <c r="AH243" s="70">
        <v>0</v>
      </c>
      <c r="AI243" s="70">
        <v>0</v>
      </c>
      <c r="AJ243" s="72" t="s">
        <v>689</v>
      </c>
    </row>
    <row r="244" spans="1:36" customFormat="1" x14ac:dyDescent="0.25">
      <c r="A244" s="68">
        <v>238</v>
      </c>
      <c r="B244" s="69" t="s">
        <v>273</v>
      </c>
      <c r="C244" s="69" t="s">
        <v>273</v>
      </c>
      <c r="D244" s="69" t="s">
        <v>699</v>
      </c>
      <c r="E244" s="69" t="s">
        <v>700</v>
      </c>
      <c r="F244" s="69" t="s">
        <v>688</v>
      </c>
      <c r="G244" s="69" t="s">
        <v>237</v>
      </c>
      <c r="H244" s="70">
        <v>0</v>
      </c>
      <c r="I244" s="70">
        <v>0</v>
      </c>
      <c r="J244" s="70">
        <v>0</v>
      </c>
      <c r="K244" s="70">
        <v>0</v>
      </c>
      <c r="L244" s="71">
        <v>0</v>
      </c>
      <c r="M244" s="71">
        <v>0</v>
      </c>
      <c r="N244" s="71">
        <v>0</v>
      </c>
      <c r="O244" s="71">
        <v>0</v>
      </c>
      <c r="P244" s="70">
        <v>25</v>
      </c>
      <c r="Q244" s="70">
        <v>5</v>
      </c>
      <c r="R244" s="70">
        <v>100</v>
      </c>
      <c r="S244" s="70">
        <v>418.05555555555554</v>
      </c>
      <c r="T244" s="71">
        <v>25</v>
      </c>
      <c r="U244" s="71">
        <v>5</v>
      </c>
      <c r="V244" s="71">
        <v>100</v>
      </c>
      <c r="W244" s="71">
        <v>418.05555555555554</v>
      </c>
      <c r="X244" s="70">
        <v>0</v>
      </c>
      <c r="Y244" s="70">
        <v>0</v>
      </c>
      <c r="Z244" s="70">
        <v>0</v>
      </c>
      <c r="AA244" s="70">
        <v>0</v>
      </c>
      <c r="AB244" s="71">
        <v>0</v>
      </c>
      <c r="AC244" s="71">
        <v>0</v>
      </c>
      <c r="AD244" s="71">
        <v>0</v>
      </c>
      <c r="AE244" s="71">
        <v>0</v>
      </c>
      <c r="AF244" s="70">
        <v>0</v>
      </c>
      <c r="AG244" s="70">
        <v>0</v>
      </c>
      <c r="AH244" s="70">
        <v>0</v>
      </c>
      <c r="AI244" s="70">
        <v>0</v>
      </c>
      <c r="AJ244" s="72" t="s">
        <v>689</v>
      </c>
    </row>
    <row r="245" spans="1:36" customFormat="1" x14ac:dyDescent="0.25">
      <c r="A245" s="68">
        <v>239</v>
      </c>
      <c r="B245" s="69" t="s">
        <v>273</v>
      </c>
      <c r="C245" s="69" t="s">
        <v>273</v>
      </c>
      <c r="D245" s="69" t="s">
        <v>701</v>
      </c>
      <c r="E245" s="69" t="s">
        <v>702</v>
      </c>
      <c r="F245" s="69" t="s">
        <v>688</v>
      </c>
      <c r="G245" s="69" t="s">
        <v>237</v>
      </c>
      <c r="H245" s="70">
        <v>25</v>
      </c>
      <c r="I245" s="70">
        <v>5</v>
      </c>
      <c r="J245" s="70">
        <v>100</v>
      </c>
      <c r="K245" s="70">
        <v>418.05555555555554</v>
      </c>
      <c r="L245" s="71">
        <v>25</v>
      </c>
      <c r="M245" s="71">
        <v>5</v>
      </c>
      <c r="N245" s="71">
        <v>100</v>
      </c>
      <c r="O245" s="71">
        <v>418.05555555555554</v>
      </c>
      <c r="P245" s="70">
        <v>25</v>
      </c>
      <c r="Q245" s="70">
        <v>5</v>
      </c>
      <c r="R245" s="70">
        <v>100</v>
      </c>
      <c r="S245" s="70">
        <v>418.05555555555554</v>
      </c>
      <c r="T245" s="71">
        <v>25</v>
      </c>
      <c r="U245" s="71">
        <v>5</v>
      </c>
      <c r="V245" s="71">
        <v>100</v>
      </c>
      <c r="W245" s="71">
        <v>418.05555555555554</v>
      </c>
      <c r="X245" s="70">
        <v>25</v>
      </c>
      <c r="Y245" s="70">
        <v>5</v>
      </c>
      <c r="Z245" s="70">
        <v>100</v>
      </c>
      <c r="AA245" s="70">
        <v>418.05555555555554</v>
      </c>
      <c r="AB245" s="71">
        <v>25</v>
      </c>
      <c r="AC245" s="71">
        <v>5</v>
      </c>
      <c r="AD245" s="71">
        <v>100</v>
      </c>
      <c r="AE245" s="71">
        <v>418.05555555555554</v>
      </c>
      <c r="AF245" s="70">
        <v>25</v>
      </c>
      <c r="AG245" s="70">
        <v>5</v>
      </c>
      <c r="AH245" s="70">
        <v>100</v>
      </c>
      <c r="AI245" s="70">
        <v>418.05555555555554</v>
      </c>
      <c r="AJ245" s="72" t="s">
        <v>689</v>
      </c>
    </row>
    <row r="246" spans="1:36" customFormat="1" x14ac:dyDescent="0.25">
      <c r="A246" s="68">
        <v>240</v>
      </c>
      <c r="B246" s="69" t="s">
        <v>273</v>
      </c>
      <c r="C246" s="69" t="s">
        <v>273</v>
      </c>
      <c r="D246" s="69" t="s">
        <v>703</v>
      </c>
      <c r="E246" s="69" t="s">
        <v>704</v>
      </c>
      <c r="F246" s="69" t="s">
        <v>705</v>
      </c>
      <c r="G246" s="69" t="s">
        <v>237</v>
      </c>
      <c r="H246" s="70">
        <v>1.7130666666666667E-4</v>
      </c>
      <c r="I246" s="70">
        <v>1.3704533333333335E-4</v>
      </c>
      <c r="J246" s="70">
        <v>2.0556799999999999E-4</v>
      </c>
      <c r="K246" s="70">
        <v>1.9563982696296314E-10</v>
      </c>
      <c r="L246" s="71">
        <v>1.7130666666666667E-4</v>
      </c>
      <c r="M246" s="71">
        <v>1.3704533333333335E-4</v>
      </c>
      <c r="N246" s="71">
        <v>2.0556799999999999E-4</v>
      </c>
      <c r="O246" s="71">
        <v>1.9563982696296314E-10</v>
      </c>
      <c r="P246" s="70">
        <v>1.7130666666666667E-4</v>
      </c>
      <c r="Q246" s="70">
        <v>1.3704533333333335E-4</v>
      </c>
      <c r="R246" s="70">
        <v>2.0556799999999999E-4</v>
      </c>
      <c r="S246" s="70">
        <v>1.9563982696296314E-10</v>
      </c>
      <c r="T246" s="71">
        <v>1.7130666666666667E-4</v>
      </c>
      <c r="U246" s="71">
        <v>1.3704533333333335E-4</v>
      </c>
      <c r="V246" s="71">
        <v>2.0556799999999999E-4</v>
      </c>
      <c r="W246" s="71">
        <v>1.9563982696296314E-10</v>
      </c>
      <c r="X246" s="70">
        <v>1.7130666666666667E-4</v>
      </c>
      <c r="Y246" s="70">
        <v>1.3704533333333335E-4</v>
      </c>
      <c r="Z246" s="70">
        <v>2.0556799999999999E-4</v>
      </c>
      <c r="AA246" s="70">
        <v>1.9563982696296314E-10</v>
      </c>
      <c r="AB246" s="71">
        <v>1.7130666666666667E-4</v>
      </c>
      <c r="AC246" s="71">
        <v>1.3704533333333335E-4</v>
      </c>
      <c r="AD246" s="71">
        <v>2.0556799999999999E-4</v>
      </c>
      <c r="AE246" s="71">
        <v>1.9563982696296314E-10</v>
      </c>
      <c r="AF246" s="70">
        <v>1.7130666666666667E-4</v>
      </c>
      <c r="AG246" s="70">
        <v>1.3704533333333335E-4</v>
      </c>
      <c r="AH246" s="70">
        <v>2.0556799999999999E-4</v>
      </c>
      <c r="AI246" s="70">
        <v>1.9563982696296314E-10</v>
      </c>
      <c r="AJ246" s="72" t="s">
        <v>478</v>
      </c>
    </row>
    <row r="247" spans="1:36" customFormat="1" x14ac:dyDescent="0.25">
      <c r="A247" s="68">
        <v>241</v>
      </c>
      <c r="B247" s="69" t="s">
        <v>273</v>
      </c>
      <c r="C247" s="69" t="s">
        <v>273</v>
      </c>
      <c r="D247" s="69" t="s">
        <v>706</v>
      </c>
      <c r="E247" s="69" t="s">
        <v>704</v>
      </c>
      <c r="F247" s="69" t="s">
        <v>705</v>
      </c>
      <c r="G247" s="69" t="s">
        <v>237</v>
      </c>
      <c r="H247" s="70">
        <v>1.7130666666666667E-4</v>
      </c>
      <c r="I247" s="70">
        <v>1.3704533333333335E-4</v>
      </c>
      <c r="J247" s="70">
        <v>2.0556799999999999E-4</v>
      </c>
      <c r="K247" s="70">
        <v>1.9563982696296314E-10</v>
      </c>
      <c r="L247" s="71">
        <v>1.7130666666666667E-4</v>
      </c>
      <c r="M247" s="71">
        <v>1.3704533333333335E-4</v>
      </c>
      <c r="N247" s="71">
        <v>2.0556799999999999E-4</v>
      </c>
      <c r="O247" s="71">
        <v>1.9563982696296314E-10</v>
      </c>
      <c r="P247" s="70">
        <v>1.7130666666666667E-4</v>
      </c>
      <c r="Q247" s="70">
        <v>1.3704533333333335E-4</v>
      </c>
      <c r="R247" s="70">
        <v>2.0556799999999999E-4</v>
      </c>
      <c r="S247" s="70">
        <v>1.9563982696296314E-10</v>
      </c>
      <c r="T247" s="71">
        <v>1.7130666666666667E-4</v>
      </c>
      <c r="U247" s="71">
        <v>1.3704533333333335E-4</v>
      </c>
      <c r="V247" s="71">
        <v>2.0556799999999999E-4</v>
      </c>
      <c r="W247" s="71">
        <v>1.9563982696296314E-10</v>
      </c>
      <c r="X247" s="70">
        <v>1.7130666666666667E-4</v>
      </c>
      <c r="Y247" s="70">
        <v>1.3704533333333335E-4</v>
      </c>
      <c r="Z247" s="70">
        <v>2.0556799999999999E-4</v>
      </c>
      <c r="AA247" s="70">
        <v>1.9563982696296314E-10</v>
      </c>
      <c r="AB247" s="71">
        <v>1.7130666666666667E-4</v>
      </c>
      <c r="AC247" s="71">
        <v>1.3704533333333335E-4</v>
      </c>
      <c r="AD247" s="71">
        <v>2.0556799999999999E-4</v>
      </c>
      <c r="AE247" s="71">
        <v>1.9563982696296314E-10</v>
      </c>
      <c r="AF247" s="70">
        <v>1.7130666666666667E-4</v>
      </c>
      <c r="AG247" s="70">
        <v>1.3704533333333335E-4</v>
      </c>
      <c r="AH247" s="70">
        <v>2.0556799999999999E-4</v>
      </c>
      <c r="AI247" s="70">
        <v>1.9563982696296314E-10</v>
      </c>
      <c r="AJ247" s="72" t="s">
        <v>478</v>
      </c>
    </row>
    <row r="248" spans="1:36" customFormat="1" x14ac:dyDescent="0.25">
      <c r="A248" s="68">
        <v>242</v>
      </c>
      <c r="B248" s="69" t="s">
        <v>273</v>
      </c>
      <c r="C248" s="69" t="s">
        <v>273</v>
      </c>
      <c r="D248" s="69" t="s">
        <v>707</v>
      </c>
      <c r="E248" s="69" t="s">
        <v>704</v>
      </c>
      <c r="F248" s="69" t="s">
        <v>705</v>
      </c>
      <c r="G248" s="69" t="s">
        <v>237</v>
      </c>
      <c r="H248" s="70">
        <v>1.7130666666666667E-4</v>
      </c>
      <c r="I248" s="70">
        <v>1.3704533333333335E-4</v>
      </c>
      <c r="J248" s="70">
        <v>2.0556799999999999E-4</v>
      </c>
      <c r="K248" s="70">
        <v>1.9563982696296314E-10</v>
      </c>
      <c r="L248" s="71">
        <v>1.7130666666666667E-4</v>
      </c>
      <c r="M248" s="71">
        <v>1.3704533333333335E-4</v>
      </c>
      <c r="N248" s="71">
        <v>2.0556799999999999E-4</v>
      </c>
      <c r="O248" s="71">
        <v>1.9563982696296314E-10</v>
      </c>
      <c r="P248" s="70">
        <v>1.7130666666666667E-4</v>
      </c>
      <c r="Q248" s="70">
        <v>1.3704533333333335E-4</v>
      </c>
      <c r="R248" s="70">
        <v>2.0556799999999999E-4</v>
      </c>
      <c r="S248" s="70">
        <v>1.9563982696296314E-10</v>
      </c>
      <c r="T248" s="71">
        <v>1.7130666666666667E-4</v>
      </c>
      <c r="U248" s="71">
        <v>1.3704533333333335E-4</v>
      </c>
      <c r="V248" s="71">
        <v>2.0556799999999999E-4</v>
      </c>
      <c r="W248" s="71">
        <v>1.9563982696296314E-10</v>
      </c>
      <c r="X248" s="70">
        <v>1.7130666666666667E-4</v>
      </c>
      <c r="Y248" s="70">
        <v>1.3704533333333335E-4</v>
      </c>
      <c r="Z248" s="70">
        <v>2.0556799999999999E-4</v>
      </c>
      <c r="AA248" s="70">
        <v>1.9563982696296314E-10</v>
      </c>
      <c r="AB248" s="71">
        <v>1.7130666666666667E-4</v>
      </c>
      <c r="AC248" s="71">
        <v>1.3704533333333335E-4</v>
      </c>
      <c r="AD248" s="71">
        <v>2.0556799999999999E-4</v>
      </c>
      <c r="AE248" s="71">
        <v>1.9563982696296314E-10</v>
      </c>
      <c r="AF248" s="70">
        <v>1.7130666666666667E-4</v>
      </c>
      <c r="AG248" s="70">
        <v>1.3704533333333335E-4</v>
      </c>
      <c r="AH248" s="70">
        <v>2.0556799999999999E-4</v>
      </c>
      <c r="AI248" s="70">
        <v>1.9563982696296314E-10</v>
      </c>
      <c r="AJ248" s="72" t="s">
        <v>478</v>
      </c>
    </row>
    <row r="249" spans="1:36" customFormat="1" x14ac:dyDescent="0.25">
      <c r="A249" s="68">
        <v>243</v>
      </c>
      <c r="B249" s="69" t="s">
        <v>273</v>
      </c>
      <c r="C249" s="69" t="s">
        <v>273</v>
      </c>
      <c r="D249" s="69" t="s">
        <v>708</v>
      </c>
      <c r="E249" s="69" t="s">
        <v>704</v>
      </c>
      <c r="F249" s="69" t="s">
        <v>705</v>
      </c>
      <c r="G249" s="69" t="s">
        <v>237</v>
      </c>
      <c r="H249" s="70">
        <v>1.7130666666666667E-4</v>
      </c>
      <c r="I249" s="70">
        <v>1.3704533333333335E-4</v>
      </c>
      <c r="J249" s="70">
        <v>2.0556799999999999E-4</v>
      </c>
      <c r="K249" s="70">
        <v>1.9563982696296314E-10</v>
      </c>
      <c r="L249" s="71">
        <v>1.7130666666666667E-4</v>
      </c>
      <c r="M249" s="71">
        <v>1.3704533333333335E-4</v>
      </c>
      <c r="N249" s="71">
        <v>2.0556799999999999E-4</v>
      </c>
      <c r="O249" s="71">
        <v>1.9563982696296314E-10</v>
      </c>
      <c r="P249" s="70">
        <v>1.7130666666666667E-4</v>
      </c>
      <c r="Q249" s="70">
        <v>1.3704533333333335E-4</v>
      </c>
      <c r="R249" s="70">
        <v>2.0556799999999999E-4</v>
      </c>
      <c r="S249" s="70">
        <v>1.9563982696296314E-10</v>
      </c>
      <c r="T249" s="71">
        <v>1.7130666666666667E-4</v>
      </c>
      <c r="U249" s="71">
        <v>1.3704533333333335E-4</v>
      </c>
      <c r="V249" s="71">
        <v>2.0556799999999999E-4</v>
      </c>
      <c r="W249" s="71">
        <v>1.9563982696296314E-10</v>
      </c>
      <c r="X249" s="70">
        <v>1.7130666666666667E-4</v>
      </c>
      <c r="Y249" s="70">
        <v>1.3704533333333335E-4</v>
      </c>
      <c r="Z249" s="70">
        <v>2.0556799999999999E-4</v>
      </c>
      <c r="AA249" s="70">
        <v>1.9563982696296314E-10</v>
      </c>
      <c r="AB249" s="71">
        <v>1.7130666666666667E-4</v>
      </c>
      <c r="AC249" s="71">
        <v>1.3704533333333335E-4</v>
      </c>
      <c r="AD249" s="71">
        <v>2.0556799999999999E-4</v>
      </c>
      <c r="AE249" s="71">
        <v>1.9563982696296314E-10</v>
      </c>
      <c r="AF249" s="70">
        <v>1.7130666666666667E-4</v>
      </c>
      <c r="AG249" s="70">
        <v>1.3704533333333335E-4</v>
      </c>
      <c r="AH249" s="70">
        <v>2.0556799999999999E-4</v>
      </c>
      <c r="AI249" s="70">
        <v>1.9563982696296314E-10</v>
      </c>
      <c r="AJ249" s="72" t="s">
        <v>478</v>
      </c>
    </row>
    <row r="250" spans="1:36" customFormat="1" x14ac:dyDescent="0.25">
      <c r="A250" s="68">
        <v>244</v>
      </c>
      <c r="B250" s="69" t="s">
        <v>273</v>
      </c>
      <c r="C250" s="69" t="s">
        <v>273</v>
      </c>
      <c r="D250" s="69" t="s">
        <v>709</v>
      </c>
      <c r="E250" s="69" t="s">
        <v>704</v>
      </c>
      <c r="F250" s="69" t="s">
        <v>705</v>
      </c>
      <c r="G250" s="69" t="s">
        <v>237</v>
      </c>
      <c r="H250" s="70">
        <v>1.7130666666666667E-4</v>
      </c>
      <c r="I250" s="70">
        <v>1.3704533333333335E-4</v>
      </c>
      <c r="J250" s="70">
        <v>2.0556799999999999E-4</v>
      </c>
      <c r="K250" s="70">
        <v>1.9563982696296314E-10</v>
      </c>
      <c r="L250" s="71">
        <v>1.7130666666666667E-4</v>
      </c>
      <c r="M250" s="71">
        <v>1.3704533333333335E-4</v>
      </c>
      <c r="N250" s="71">
        <v>2.0556799999999999E-4</v>
      </c>
      <c r="O250" s="71">
        <v>1.9563982696296314E-10</v>
      </c>
      <c r="P250" s="70">
        <v>1.7130666666666667E-4</v>
      </c>
      <c r="Q250" s="70">
        <v>1.3704533333333335E-4</v>
      </c>
      <c r="R250" s="70">
        <v>2.0556799999999999E-4</v>
      </c>
      <c r="S250" s="70">
        <v>1.9563982696296314E-10</v>
      </c>
      <c r="T250" s="71">
        <v>1.7130666666666667E-4</v>
      </c>
      <c r="U250" s="71">
        <v>1.3704533333333335E-4</v>
      </c>
      <c r="V250" s="71">
        <v>2.0556799999999999E-4</v>
      </c>
      <c r="W250" s="71">
        <v>1.9563982696296314E-10</v>
      </c>
      <c r="X250" s="70">
        <v>1.7130666666666667E-4</v>
      </c>
      <c r="Y250" s="70">
        <v>1.3704533333333335E-4</v>
      </c>
      <c r="Z250" s="70">
        <v>2.0556799999999999E-4</v>
      </c>
      <c r="AA250" s="70">
        <v>1.9563982696296314E-10</v>
      </c>
      <c r="AB250" s="71">
        <v>1.7130666666666667E-4</v>
      </c>
      <c r="AC250" s="71">
        <v>1.3704533333333335E-4</v>
      </c>
      <c r="AD250" s="71">
        <v>2.0556799999999999E-4</v>
      </c>
      <c r="AE250" s="71">
        <v>1.9563982696296314E-10</v>
      </c>
      <c r="AF250" s="70">
        <v>1.7130666666666667E-4</v>
      </c>
      <c r="AG250" s="70">
        <v>1.3704533333333335E-4</v>
      </c>
      <c r="AH250" s="70">
        <v>2.0556799999999999E-4</v>
      </c>
      <c r="AI250" s="70">
        <v>1.9563982696296314E-10</v>
      </c>
      <c r="AJ250" s="72" t="s">
        <v>478</v>
      </c>
    </row>
    <row r="251" spans="1:36" customFormat="1" x14ac:dyDescent="0.25">
      <c r="A251" s="68">
        <v>245</v>
      </c>
      <c r="B251" s="69" t="s">
        <v>273</v>
      </c>
      <c r="C251" s="69" t="s">
        <v>273</v>
      </c>
      <c r="D251" s="69" t="s">
        <v>710</v>
      </c>
      <c r="E251" s="69" t="s">
        <v>704</v>
      </c>
      <c r="F251" s="69" t="s">
        <v>705</v>
      </c>
      <c r="G251" s="69" t="s">
        <v>237</v>
      </c>
      <c r="H251" s="70">
        <v>1.7130666666666667E-4</v>
      </c>
      <c r="I251" s="70">
        <v>1.3704533333333335E-4</v>
      </c>
      <c r="J251" s="70">
        <v>2.0556799999999999E-4</v>
      </c>
      <c r="K251" s="70">
        <v>1.9563982696296314E-10</v>
      </c>
      <c r="L251" s="71">
        <v>1.7130666666666667E-4</v>
      </c>
      <c r="M251" s="71">
        <v>1.3704533333333335E-4</v>
      </c>
      <c r="N251" s="71">
        <v>2.0556799999999999E-4</v>
      </c>
      <c r="O251" s="71">
        <v>1.9563982696296314E-10</v>
      </c>
      <c r="P251" s="70">
        <v>1.7130666666666667E-4</v>
      </c>
      <c r="Q251" s="70">
        <v>1.3704533333333335E-4</v>
      </c>
      <c r="R251" s="70">
        <v>2.0556799999999999E-4</v>
      </c>
      <c r="S251" s="70">
        <v>1.9563982696296314E-10</v>
      </c>
      <c r="T251" s="71">
        <v>1.7130666666666667E-4</v>
      </c>
      <c r="U251" s="71">
        <v>1.3704533333333335E-4</v>
      </c>
      <c r="V251" s="71">
        <v>2.0556799999999999E-4</v>
      </c>
      <c r="W251" s="71">
        <v>1.9563982696296314E-10</v>
      </c>
      <c r="X251" s="70">
        <v>1.7130666666666667E-4</v>
      </c>
      <c r="Y251" s="70">
        <v>1.3704533333333335E-4</v>
      </c>
      <c r="Z251" s="70">
        <v>2.0556799999999999E-4</v>
      </c>
      <c r="AA251" s="70">
        <v>1.9563982696296314E-10</v>
      </c>
      <c r="AB251" s="71">
        <v>1.7130666666666667E-4</v>
      </c>
      <c r="AC251" s="71">
        <v>1.3704533333333335E-4</v>
      </c>
      <c r="AD251" s="71">
        <v>2.0556799999999999E-4</v>
      </c>
      <c r="AE251" s="71">
        <v>1.9563982696296314E-10</v>
      </c>
      <c r="AF251" s="70">
        <v>1.7130666666666667E-4</v>
      </c>
      <c r="AG251" s="70">
        <v>1.3704533333333335E-4</v>
      </c>
      <c r="AH251" s="70">
        <v>2.0556799999999999E-4</v>
      </c>
      <c r="AI251" s="70">
        <v>1.9563982696296314E-10</v>
      </c>
      <c r="AJ251" s="72" t="s">
        <v>478</v>
      </c>
    </row>
    <row r="252" spans="1:36" customFormat="1" x14ac:dyDescent="0.25">
      <c r="A252" s="68">
        <v>246</v>
      </c>
      <c r="B252" s="69" t="s">
        <v>273</v>
      </c>
      <c r="C252" s="69" t="s">
        <v>273</v>
      </c>
      <c r="D252" s="69" t="s">
        <v>711</v>
      </c>
      <c r="E252" s="69" t="s">
        <v>704</v>
      </c>
      <c r="F252" s="69" t="s">
        <v>705</v>
      </c>
      <c r="G252" s="69" t="s">
        <v>237</v>
      </c>
      <c r="H252" s="70">
        <v>1.7130666666666667E-4</v>
      </c>
      <c r="I252" s="70">
        <v>1.3704533333333335E-4</v>
      </c>
      <c r="J252" s="70">
        <v>2.0556799999999999E-4</v>
      </c>
      <c r="K252" s="70">
        <v>1.9563982696296314E-10</v>
      </c>
      <c r="L252" s="71">
        <v>1.7130666666666667E-4</v>
      </c>
      <c r="M252" s="71">
        <v>1.3704533333333335E-4</v>
      </c>
      <c r="N252" s="71">
        <v>2.0556799999999999E-4</v>
      </c>
      <c r="O252" s="71">
        <v>1.9563982696296314E-10</v>
      </c>
      <c r="P252" s="70">
        <v>1.7130666666666667E-4</v>
      </c>
      <c r="Q252" s="70">
        <v>1.3704533333333335E-4</v>
      </c>
      <c r="R252" s="70">
        <v>2.0556799999999999E-4</v>
      </c>
      <c r="S252" s="70">
        <v>1.9563982696296314E-10</v>
      </c>
      <c r="T252" s="71">
        <v>1.7130666666666667E-4</v>
      </c>
      <c r="U252" s="71">
        <v>1.3704533333333335E-4</v>
      </c>
      <c r="V252" s="71">
        <v>2.0556799999999999E-4</v>
      </c>
      <c r="W252" s="71">
        <v>1.9563982696296314E-10</v>
      </c>
      <c r="X252" s="70">
        <v>1.7130666666666667E-4</v>
      </c>
      <c r="Y252" s="70">
        <v>1.3704533333333335E-4</v>
      </c>
      <c r="Z252" s="70">
        <v>2.0556799999999999E-4</v>
      </c>
      <c r="AA252" s="70">
        <v>1.9563982696296314E-10</v>
      </c>
      <c r="AB252" s="71">
        <v>1.7130666666666667E-4</v>
      </c>
      <c r="AC252" s="71">
        <v>1.3704533333333335E-4</v>
      </c>
      <c r="AD252" s="71">
        <v>2.0556799999999999E-4</v>
      </c>
      <c r="AE252" s="71">
        <v>1.9563982696296314E-10</v>
      </c>
      <c r="AF252" s="70">
        <v>1.7130666666666667E-4</v>
      </c>
      <c r="AG252" s="70">
        <v>1.3704533333333335E-4</v>
      </c>
      <c r="AH252" s="70">
        <v>2.0556799999999999E-4</v>
      </c>
      <c r="AI252" s="70">
        <v>1.9563982696296314E-10</v>
      </c>
      <c r="AJ252" s="72" t="s">
        <v>478</v>
      </c>
    </row>
    <row r="253" spans="1:36" customFormat="1" x14ac:dyDescent="0.25">
      <c r="A253" s="68">
        <v>247</v>
      </c>
      <c r="B253" s="69" t="s">
        <v>273</v>
      </c>
      <c r="C253" s="69" t="s">
        <v>273</v>
      </c>
      <c r="D253" s="69" t="s">
        <v>712</v>
      </c>
      <c r="E253" s="69" t="s">
        <v>704</v>
      </c>
      <c r="F253" s="69" t="s">
        <v>705</v>
      </c>
      <c r="G253" s="69" t="s">
        <v>237</v>
      </c>
      <c r="H253" s="70">
        <v>1.7130666666666667E-4</v>
      </c>
      <c r="I253" s="70">
        <v>1.3704533333333335E-4</v>
      </c>
      <c r="J253" s="70">
        <v>2.0556799999999999E-4</v>
      </c>
      <c r="K253" s="70">
        <v>1.9563982696296314E-10</v>
      </c>
      <c r="L253" s="71">
        <v>1.7130666666666667E-4</v>
      </c>
      <c r="M253" s="71">
        <v>1.3704533333333335E-4</v>
      </c>
      <c r="N253" s="71">
        <v>2.0556799999999999E-4</v>
      </c>
      <c r="O253" s="71">
        <v>1.9563982696296314E-10</v>
      </c>
      <c r="P253" s="70">
        <v>1.7130666666666667E-4</v>
      </c>
      <c r="Q253" s="70">
        <v>1.3704533333333335E-4</v>
      </c>
      <c r="R253" s="70">
        <v>2.0556799999999999E-4</v>
      </c>
      <c r="S253" s="70">
        <v>1.9563982696296314E-10</v>
      </c>
      <c r="T253" s="71">
        <v>1.7130666666666667E-4</v>
      </c>
      <c r="U253" s="71">
        <v>1.3704533333333335E-4</v>
      </c>
      <c r="V253" s="71">
        <v>2.0556799999999999E-4</v>
      </c>
      <c r="W253" s="71">
        <v>1.9563982696296314E-10</v>
      </c>
      <c r="X253" s="70">
        <v>1.7130666666666667E-4</v>
      </c>
      <c r="Y253" s="70">
        <v>1.3704533333333335E-4</v>
      </c>
      <c r="Z253" s="70">
        <v>2.0556799999999999E-4</v>
      </c>
      <c r="AA253" s="70">
        <v>1.9563982696296314E-10</v>
      </c>
      <c r="AB253" s="71">
        <v>1.7130666666666667E-4</v>
      </c>
      <c r="AC253" s="71">
        <v>1.3704533333333335E-4</v>
      </c>
      <c r="AD253" s="71">
        <v>2.0556799999999999E-4</v>
      </c>
      <c r="AE253" s="71">
        <v>1.9563982696296314E-10</v>
      </c>
      <c r="AF253" s="70">
        <v>1.7130666666666667E-4</v>
      </c>
      <c r="AG253" s="70">
        <v>1.3704533333333335E-4</v>
      </c>
      <c r="AH253" s="70">
        <v>2.0556799999999999E-4</v>
      </c>
      <c r="AI253" s="70">
        <v>1.9563982696296314E-10</v>
      </c>
      <c r="AJ253" s="72" t="s">
        <v>478</v>
      </c>
    </row>
    <row r="254" spans="1:36" customFormat="1" x14ac:dyDescent="0.25">
      <c r="A254" s="68">
        <v>248</v>
      </c>
      <c r="B254" s="69" t="s">
        <v>273</v>
      </c>
      <c r="C254" s="69" t="s">
        <v>273</v>
      </c>
      <c r="D254" s="69" t="s">
        <v>713</v>
      </c>
      <c r="E254" s="69" t="s">
        <v>714</v>
      </c>
      <c r="F254" s="69" t="s">
        <v>715</v>
      </c>
      <c r="G254" s="69" t="s">
        <v>237</v>
      </c>
      <c r="H254" s="70">
        <v>27000000</v>
      </c>
      <c r="I254" s="70">
        <v>21600000</v>
      </c>
      <c r="J254" s="70">
        <v>32400000</v>
      </c>
      <c r="K254" s="70">
        <v>4860000000000</v>
      </c>
      <c r="L254" s="71">
        <v>27000000</v>
      </c>
      <c r="M254" s="71">
        <v>21600000</v>
      </c>
      <c r="N254" s="71">
        <v>32400000</v>
      </c>
      <c r="O254" s="71">
        <v>4860000000000</v>
      </c>
      <c r="P254" s="70">
        <v>27000000</v>
      </c>
      <c r="Q254" s="70">
        <v>21600000</v>
      </c>
      <c r="R254" s="70">
        <v>32400000</v>
      </c>
      <c r="S254" s="70">
        <v>4860000000000</v>
      </c>
      <c r="T254" s="71">
        <v>27000000</v>
      </c>
      <c r="U254" s="71">
        <v>21600000</v>
      </c>
      <c r="V254" s="71">
        <v>32400000</v>
      </c>
      <c r="W254" s="71">
        <v>4860000000000</v>
      </c>
      <c r="X254" s="70">
        <v>27000000</v>
      </c>
      <c r="Y254" s="70">
        <v>21600000</v>
      </c>
      <c r="Z254" s="70">
        <v>32400000</v>
      </c>
      <c r="AA254" s="70">
        <v>4860000000000</v>
      </c>
      <c r="AB254" s="71">
        <v>27000000</v>
      </c>
      <c r="AC254" s="71">
        <v>21600000</v>
      </c>
      <c r="AD254" s="71">
        <v>32400000</v>
      </c>
      <c r="AE254" s="71">
        <v>4860000000000</v>
      </c>
      <c r="AF254" s="70">
        <v>27000000</v>
      </c>
      <c r="AG254" s="70">
        <v>21600000</v>
      </c>
      <c r="AH254" s="70">
        <v>32400000</v>
      </c>
      <c r="AI254" s="70">
        <v>4860000000000</v>
      </c>
      <c r="AJ254" s="72" t="s">
        <v>478</v>
      </c>
    </row>
    <row r="255" spans="1:36" customFormat="1" x14ac:dyDescent="0.25">
      <c r="A255" s="68">
        <v>249</v>
      </c>
      <c r="B255" s="69" t="s">
        <v>273</v>
      </c>
      <c r="C255" s="69" t="s">
        <v>273</v>
      </c>
      <c r="D255" s="69" t="s">
        <v>716</v>
      </c>
      <c r="E255" s="69" t="s">
        <v>714</v>
      </c>
      <c r="F255" s="69" t="s">
        <v>715</v>
      </c>
      <c r="G255" s="69" t="s">
        <v>237</v>
      </c>
      <c r="H255" s="70">
        <v>27000000</v>
      </c>
      <c r="I255" s="70">
        <v>21600000</v>
      </c>
      <c r="J255" s="70">
        <v>32400000</v>
      </c>
      <c r="K255" s="70">
        <v>4860000000000</v>
      </c>
      <c r="L255" s="71">
        <v>27000000</v>
      </c>
      <c r="M255" s="71">
        <v>21600000</v>
      </c>
      <c r="N255" s="71">
        <v>32400000</v>
      </c>
      <c r="O255" s="71">
        <v>4860000000000</v>
      </c>
      <c r="P255" s="70">
        <v>27000000</v>
      </c>
      <c r="Q255" s="70">
        <v>21600000</v>
      </c>
      <c r="R255" s="70">
        <v>32400000</v>
      </c>
      <c r="S255" s="70">
        <v>4860000000000</v>
      </c>
      <c r="T255" s="71">
        <v>27000000</v>
      </c>
      <c r="U255" s="71">
        <v>21600000</v>
      </c>
      <c r="V255" s="71">
        <v>32400000</v>
      </c>
      <c r="W255" s="71">
        <v>4860000000000</v>
      </c>
      <c r="X255" s="70">
        <v>27000000</v>
      </c>
      <c r="Y255" s="70">
        <v>21600000</v>
      </c>
      <c r="Z255" s="70">
        <v>32400000</v>
      </c>
      <c r="AA255" s="70">
        <v>4860000000000</v>
      </c>
      <c r="AB255" s="71">
        <v>27000000</v>
      </c>
      <c r="AC255" s="71">
        <v>21600000</v>
      </c>
      <c r="AD255" s="71">
        <v>32400000</v>
      </c>
      <c r="AE255" s="71">
        <v>4860000000000</v>
      </c>
      <c r="AF255" s="70">
        <v>27000000</v>
      </c>
      <c r="AG255" s="70">
        <v>21600000</v>
      </c>
      <c r="AH255" s="70">
        <v>32400000</v>
      </c>
      <c r="AI255" s="70">
        <v>4860000000000</v>
      </c>
      <c r="AJ255" s="72" t="s">
        <v>478</v>
      </c>
    </row>
    <row r="256" spans="1:36" customFormat="1" x14ac:dyDescent="0.25">
      <c r="A256" s="68">
        <v>250</v>
      </c>
      <c r="B256" s="69" t="s">
        <v>273</v>
      </c>
      <c r="C256" s="69" t="s">
        <v>273</v>
      </c>
      <c r="D256" s="69" t="s">
        <v>717</v>
      </c>
      <c r="E256" s="69" t="s">
        <v>714</v>
      </c>
      <c r="F256" s="69" t="s">
        <v>715</v>
      </c>
      <c r="G256" s="69" t="s">
        <v>237</v>
      </c>
      <c r="H256" s="70">
        <v>27000000</v>
      </c>
      <c r="I256" s="70">
        <v>21600000</v>
      </c>
      <c r="J256" s="70">
        <v>32400000</v>
      </c>
      <c r="K256" s="70">
        <v>4860000000000</v>
      </c>
      <c r="L256" s="71">
        <v>27000000</v>
      </c>
      <c r="M256" s="71">
        <v>21600000</v>
      </c>
      <c r="N256" s="71">
        <v>32400000</v>
      </c>
      <c r="O256" s="71">
        <v>4860000000000</v>
      </c>
      <c r="P256" s="70">
        <v>27000000</v>
      </c>
      <c r="Q256" s="70">
        <v>21600000</v>
      </c>
      <c r="R256" s="70">
        <v>32400000</v>
      </c>
      <c r="S256" s="70">
        <v>4860000000000</v>
      </c>
      <c r="T256" s="71">
        <v>27000000</v>
      </c>
      <c r="U256" s="71">
        <v>21600000</v>
      </c>
      <c r="V256" s="71">
        <v>32400000</v>
      </c>
      <c r="W256" s="71">
        <v>4860000000000</v>
      </c>
      <c r="X256" s="70">
        <v>27000000</v>
      </c>
      <c r="Y256" s="70">
        <v>21600000</v>
      </c>
      <c r="Z256" s="70">
        <v>32400000</v>
      </c>
      <c r="AA256" s="70">
        <v>4860000000000</v>
      </c>
      <c r="AB256" s="71">
        <v>27000000</v>
      </c>
      <c r="AC256" s="71">
        <v>21600000</v>
      </c>
      <c r="AD256" s="71">
        <v>32400000</v>
      </c>
      <c r="AE256" s="71">
        <v>4860000000000</v>
      </c>
      <c r="AF256" s="70">
        <v>27000000</v>
      </c>
      <c r="AG256" s="70">
        <v>21600000</v>
      </c>
      <c r="AH256" s="70">
        <v>32400000</v>
      </c>
      <c r="AI256" s="70">
        <v>4860000000000</v>
      </c>
      <c r="AJ256" s="72" t="s">
        <v>478</v>
      </c>
    </row>
    <row r="257" spans="1:36" customFormat="1" x14ac:dyDescent="0.25">
      <c r="A257" s="68">
        <v>251</v>
      </c>
      <c r="B257" s="69" t="s">
        <v>273</v>
      </c>
      <c r="C257" s="69" t="s">
        <v>273</v>
      </c>
      <c r="D257" s="69" t="s">
        <v>718</v>
      </c>
      <c r="E257" s="69" t="s">
        <v>714</v>
      </c>
      <c r="F257" s="69" t="s">
        <v>715</v>
      </c>
      <c r="G257" s="69" t="s">
        <v>237</v>
      </c>
      <c r="H257" s="70">
        <v>27000000</v>
      </c>
      <c r="I257" s="70">
        <v>21600000</v>
      </c>
      <c r="J257" s="70">
        <v>32400000</v>
      </c>
      <c r="K257" s="70">
        <v>4860000000000</v>
      </c>
      <c r="L257" s="71">
        <v>27000000</v>
      </c>
      <c r="M257" s="71">
        <v>21600000</v>
      </c>
      <c r="N257" s="71">
        <v>32400000</v>
      </c>
      <c r="O257" s="71">
        <v>4860000000000</v>
      </c>
      <c r="P257" s="70">
        <v>27000000</v>
      </c>
      <c r="Q257" s="70">
        <v>21600000</v>
      </c>
      <c r="R257" s="70">
        <v>32400000</v>
      </c>
      <c r="S257" s="70">
        <v>4860000000000</v>
      </c>
      <c r="T257" s="71">
        <v>27000000</v>
      </c>
      <c r="U257" s="71">
        <v>21600000</v>
      </c>
      <c r="V257" s="71">
        <v>32400000</v>
      </c>
      <c r="W257" s="71">
        <v>4860000000000</v>
      </c>
      <c r="X257" s="70">
        <v>27000000</v>
      </c>
      <c r="Y257" s="70">
        <v>21600000</v>
      </c>
      <c r="Z257" s="70">
        <v>32400000</v>
      </c>
      <c r="AA257" s="70">
        <v>4860000000000</v>
      </c>
      <c r="AB257" s="71">
        <v>27000000</v>
      </c>
      <c r="AC257" s="71">
        <v>21600000</v>
      </c>
      <c r="AD257" s="71">
        <v>32400000</v>
      </c>
      <c r="AE257" s="71">
        <v>4860000000000</v>
      </c>
      <c r="AF257" s="70">
        <v>27000000</v>
      </c>
      <c r="AG257" s="70">
        <v>21600000</v>
      </c>
      <c r="AH257" s="70">
        <v>32400000</v>
      </c>
      <c r="AI257" s="70">
        <v>4860000000000</v>
      </c>
      <c r="AJ257" s="72" t="s">
        <v>478</v>
      </c>
    </row>
    <row r="258" spans="1:36" customFormat="1" x14ac:dyDescent="0.25">
      <c r="A258" s="68">
        <v>252</v>
      </c>
      <c r="B258" s="69" t="s">
        <v>273</v>
      </c>
      <c r="C258" s="69" t="s">
        <v>273</v>
      </c>
      <c r="D258" s="69" t="s">
        <v>719</v>
      </c>
      <c r="E258" s="69" t="s">
        <v>714</v>
      </c>
      <c r="F258" s="69" t="s">
        <v>715</v>
      </c>
      <c r="G258" s="69" t="s">
        <v>237</v>
      </c>
      <c r="H258" s="70">
        <v>27000000</v>
      </c>
      <c r="I258" s="70">
        <v>21600000</v>
      </c>
      <c r="J258" s="70">
        <v>32400000</v>
      </c>
      <c r="K258" s="70">
        <v>4860000000000</v>
      </c>
      <c r="L258" s="71">
        <v>27000000</v>
      </c>
      <c r="M258" s="71">
        <v>21600000</v>
      </c>
      <c r="N258" s="71">
        <v>32400000</v>
      </c>
      <c r="O258" s="71">
        <v>4860000000000</v>
      </c>
      <c r="P258" s="70">
        <v>27000000</v>
      </c>
      <c r="Q258" s="70">
        <v>21600000</v>
      </c>
      <c r="R258" s="70">
        <v>32400000</v>
      </c>
      <c r="S258" s="70">
        <v>4860000000000</v>
      </c>
      <c r="T258" s="71">
        <v>27000000</v>
      </c>
      <c r="U258" s="71">
        <v>21600000</v>
      </c>
      <c r="V258" s="71">
        <v>32400000</v>
      </c>
      <c r="W258" s="71">
        <v>4860000000000</v>
      </c>
      <c r="X258" s="70">
        <v>27000000</v>
      </c>
      <c r="Y258" s="70">
        <v>21600000</v>
      </c>
      <c r="Z258" s="70">
        <v>32400000</v>
      </c>
      <c r="AA258" s="70">
        <v>4860000000000</v>
      </c>
      <c r="AB258" s="71">
        <v>27000000</v>
      </c>
      <c r="AC258" s="71">
        <v>21600000</v>
      </c>
      <c r="AD258" s="71">
        <v>32400000</v>
      </c>
      <c r="AE258" s="71">
        <v>4860000000000</v>
      </c>
      <c r="AF258" s="70">
        <v>27000000</v>
      </c>
      <c r="AG258" s="70">
        <v>21600000</v>
      </c>
      <c r="AH258" s="70">
        <v>32400000</v>
      </c>
      <c r="AI258" s="70">
        <v>4860000000000</v>
      </c>
      <c r="AJ258" s="72" t="s">
        <v>478</v>
      </c>
    </row>
    <row r="259" spans="1:36" customFormat="1" x14ac:dyDescent="0.25">
      <c r="A259" s="68">
        <v>253</v>
      </c>
      <c r="B259" s="69" t="s">
        <v>273</v>
      </c>
      <c r="C259" s="69" t="s">
        <v>273</v>
      </c>
      <c r="D259" s="69" t="s">
        <v>720</v>
      </c>
      <c r="E259" s="69" t="s">
        <v>714</v>
      </c>
      <c r="F259" s="69" t="s">
        <v>715</v>
      </c>
      <c r="G259" s="69" t="s">
        <v>237</v>
      </c>
      <c r="H259" s="70">
        <v>27000000</v>
      </c>
      <c r="I259" s="70">
        <v>21600000</v>
      </c>
      <c r="J259" s="70">
        <v>32400000</v>
      </c>
      <c r="K259" s="70">
        <v>4860000000000</v>
      </c>
      <c r="L259" s="71">
        <v>27000000</v>
      </c>
      <c r="M259" s="71">
        <v>21600000</v>
      </c>
      <c r="N259" s="71">
        <v>32400000</v>
      </c>
      <c r="O259" s="71">
        <v>4860000000000</v>
      </c>
      <c r="P259" s="70">
        <v>27000000</v>
      </c>
      <c r="Q259" s="70">
        <v>21600000</v>
      </c>
      <c r="R259" s="70">
        <v>32400000</v>
      </c>
      <c r="S259" s="70">
        <v>4860000000000</v>
      </c>
      <c r="T259" s="71">
        <v>27000000</v>
      </c>
      <c r="U259" s="71">
        <v>21600000</v>
      </c>
      <c r="V259" s="71">
        <v>32400000</v>
      </c>
      <c r="W259" s="71">
        <v>4860000000000</v>
      </c>
      <c r="X259" s="70">
        <v>27000000</v>
      </c>
      <c r="Y259" s="70">
        <v>21600000</v>
      </c>
      <c r="Z259" s="70">
        <v>32400000</v>
      </c>
      <c r="AA259" s="70">
        <v>4860000000000</v>
      </c>
      <c r="AB259" s="71">
        <v>27000000</v>
      </c>
      <c r="AC259" s="71">
        <v>21600000</v>
      </c>
      <c r="AD259" s="71">
        <v>32400000</v>
      </c>
      <c r="AE259" s="71">
        <v>4860000000000</v>
      </c>
      <c r="AF259" s="70">
        <v>27000000</v>
      </c>
      <c r="AG259" s="70">
        <v>21600000</v>
      </c>
      <c r="AH259" s="70">
        <v>32400000</v>
      </c>
      <c r="AI259" s="70">
        <v>4860000000000</v>
      </c>
      <c r="AJ259" s="72" t="s">
        <v>478</v>
      </c>
    </row>
    <row r="260" spans="1:36" customFormat="1" x14ac:dyDescent="0.25">
      <c r="A260" s="68">
        <v>254</v>
      </c>
      <c r="B260" s="69" t="s">
        <v>273</v>
      </c>
      <c r="C260" s="69" t="s">
        <v>273</v>
      </c>
      <c r="D260" s="69" t="s">
        <v>721</v>
      </c>
      <c r="E260" s="69" t="s">
        <v>714</v>
      </c>
      <c r="F260" s="69" t="s">
        <v>715</v>
      </c>
      <c r="G260" s="69" t="s">
        <v>237</v>
      </c>
      <c r="H260" s="70">
        <v>0</v>
      </c>
      <c r="I260" s="70">
        <v>0</v>
      </c>
      <c r="J260" s="70">
        <v>0</v>
      </c>
      <c r="K260" s="70">
        <v>0</v>
      </c>
      <c r="L260" s="71">
        <v>27000000</v>
      </c>
      <c r="M260" s="71">
        <v>21600000</v>
      </c>
      <c r="N260" s="71">
        <v>32400000</v>
      </c>
      <c r="O260" s="71">
        <v>4860000000000</v>
      </c>
      <c r="P260" s="70">
        <v>0</v>
      </c>
      <c r="Q260" s="70">
        <v>0</v>
      </c>
      <c r="R260" s="70">
        <v>0</v>
      </c>
      <c r="S260" s="70">
        <v>0</v>
      </c>
      <c r="T260" s="71">
        <v>0</v>
      </c>
      <c r="U260" s="71">
        <v>0</v>
      </c>
      <c r="V260" s="71">
        <v>0</v>
      </c>
      <c r="W260" s="71">
        <v>0</v>
      </c>
      <c r="X260" s="70">
        <v>0</v>
      </c>
      <c r="Y260" s="70">
        <v>0</v>
      </c>
      <c r="Z260" s="70">
        <v>0</v>
      </c>
      <c r="AA260" s="70">
        <v>0</v>
      </c>
      <c r="AB260" s="71">
        <v>27000000</v>
      </c>
      <c r="AC260" s="71">
        <v>21600000</v>
      </c>
      <c r="AD260" s="71">
        <v>32400000</v>
      </c>
      <c r="AE260" s="71">
        <v>4860000000000</v>
      </c>
      <c r="AF260" s="70">
        <v>0</v>
      </c>
      <c r="AG260" s="70">
        <v>0</v>
      </c>
      <c r="AH260" s="70">
        <v>0</v>
      </c>
      <c r="AI260" s="70">
        <v>0</v>
      </c>
      <c r="AJ260" s="72" t="s">
        <v>478</v>
      </c>
    </row>
    <row r="261" spans="1:36" customFormat="1" x14ac:dyDescent="0.25">
      <c r="A261" s="68">
        <v>255</v>
      </c>
      <c r="B261" s="69" t="s">
        <v>273</v>
      </c>
      <c r="C261" s="69" t="s">
        <v>273</v>
      </c>
      <c r="D261" s="69" t="s">
        <v>722</v>
      </c>
      <c r="E261" s="69" t="s">
        <v>714</v>
      </c>
      <c r="F261" s="69" t="s">
        <v>715</v>
      </c>
      <c r="G261" s="69" t="s">
        <v>237</v>
      </c>
      <c r="H261" s="70">
        <v>0</v>
      </c>
      <c r="I261" s="70">
        <v>0</v>
      </c>
      <c r="J261" s="70">
        <v>0</v>
      </c>
      <c r="K261" s="70">
        <v>0</v>
      </c>
      <c r="L261" s="71">
        <v>27000000</v>
      </c>
      <c r="M261" s="71">
        <v>21600000</v>
      </c>
      <c r="N261" s="71">
        <v>32400000</v>
      </c>
      <c r="O261" s="71">
        <v>4860000000000</v>
      </c>
      <c r="P261" s="70">
        <v>0</v>
      </c>
      <c r="Q261" s="70">
        <v>0</v>
      </c>
      <c r="R261" s="70">
        <v>0</v>
      </c>
      <c r="S261" s="70">
        <v>0</v>
      </c>
      <c r="T261" s="71">
        <v>0</v>
      </c>
      <c r="U261" s="71">
        <v>0</v>
      </c>
      <c r="V261" s="71">
        <v>0</v>
      </c>
      <c r="W261" s="71">
        <v>0</v>
      </c>
      <c r="X261" s="70">
        <v>0</v>
      </c>
      <c r="Y261" s="70">
        <v>0</v>
      </c>
      <c r="Z261" s="70">
        <v>0</v>
      </c>
      <c r="AA261" s="70">
        <v>0</v>
      </c>
      <c r="AB261" s="71">
        <v>27000000</v>
      </c>
      <c r="AC261" s="71">
        <v>21600000</v>
      </c>
      <c r="AD261" s="71">
        <v>32400000</v>
      </c>
      <c r="AE261" s="71">
        <v>4860000000000</v>
      </c>
      <c r="AF261" s="70">
        <v>0</v>
      </c>
      <c r="AG261" s="70">
        <v>0</v>
      </c>
      <c r="AH261" s="70">
        <v>0</v>
      </c>
      <c r="AI261" s="70">
        <v>0</v>
      </c>
      <c r="AJ261" s="72" t="s">
        <v>478</v>
      </c>
    </row>
    <row r="262" spans="1:36" customFormat="1" x14ac:dyDescent="0.25">
      <c r="A262" s="66" t="s">
        <v>821</v>
      </c>
      <c r="B262" s="67"/>
      <c r="C262" s="67"/>
      <c r="D262" s="67"/>
      <c r="E262" s="67"/>
      <c r="F262" s="67"/>
      <c r="G262" s="67"/>
      <c r="H262" s="74"/>
      <c r="I262" s="74"/>
      <c r="J262" s="74"/>
      <c r="K262" s="74"/>
      <c r="L262" s="74"/>
      <c r="M262" s="74"/>
      <c r="N262" s="74"/>
      <c r="O262" s="74"/>
      <c r="P262" s="74"/>
      <c r="Q262" s="74"/>
      <c r="R262" s="74"/>
      <c r="S262" s="74"/>
      <c r="T262" s="74"/>
      <c r="U262" s="74"/>
      <c r="V262" s="74"/>
      <c r="W262" s="74"/>
      <c r="X262" s="74"/>
      <c r="Y262" s="74"/>
      <c r="Z262" s="74"/>
      <c r="AA262" s="74"/>
      <c r="AB262" s="74"/>
      <c r="AC262" s="74"/>
      <c r="AD262" s="74"/>
      <c r="AE262" s="74"/>
      <c r="AF262" s="74"/>
      <c r="AG262" s="74"/>
      <c r="AH262" s="74"/>
      <c r="AI262" s="74"/>
      <c r="AJ262" s="67"/>
    </row>
    <row r="263" spans="1:36" customFormat="1" x14ac:dyDescent="0.25">
      <c r="A263" s="68">
        <v>256</v>
      </c>
      <c r="B263" s="69" t="s">
        <v>275</v>
      </c>
      <c r="C263" s="69" t="s">
        <v>275</v>
      </c>
      <c r="D263" s="69" t="s">
        <v>723</v>
      </c>
      <c r="E263" s="69" t="s">
        <v>880</v>
      </c>
      <c r="F263" s="69" t="s">
        <v>724</v>
      </c>
      <c r="G263" s="69" t="s">
        <v>237</v>
      </c>
      <c r="H263" s="70">
        <v>0</v>
      </c>
      <c r="I263" s="70">
        <v>0</v>
      </c>
      <c r="J263" s="70">
        <v>0</v>
      </c>
      <c r="K263" s="70">
        <v>0</v>
      </c>
      <c r="L263" s="71">
        <v>1.6999999999999999E-3</v>
      </c>
      <c r="M263" s="71">
        <v>1.3599999999999999E-3</v>
      </c>
      <c r="N263" s="71">
        <v>2.0400000000000001E-3</v>
      </c>
      <c r="O263" s="71">
        <v>1.9266666666666723E-8</v>
      </c>
      <c r="P263" s="70">
        <v>0</v>
      </c>
      <c r="Q263" s="70">
        <v>0</v>
      </c>
      <c r="R263" s="70">
        <v>0</v>
      </c>
      <c r="S263" s="70">
        <v>0</v>
      </c>
      <c r="T263" s="71">
        <v>0</v>
      </c>
      <c r="U263" s="71">
        <v>0</v>
      </c>
      <c r="V263" s="71">
        <v>0</v>
      </c>
      <c r="W263" s="71">
        <v>0</v>
      </c>
      <c r="X263" s="70">
        <v>0</v>
      </c>
      <c r="Y263" s="70">
        <v>0</v>
      </c>
      <c r="Z263" s="70">
        <v>0</v>
      </c>
      <c r="AA263" s="70">
        <v>0</v>
      </c>
      <c r="AB263" s="71">
        <v>0</v>
      </c>
      <c r="AC263" s="71">
        <v>0</v>
      </c>
      <c r="AD263" s="71">
        <v>0</v>
      </c>
      <c r="AE263" s="71">
        <v>0</v>
      </c>
      <c r="AF263" s="70">
        <v>0</v>
      </c>
      <c r="AG263" s="70">
        <v>0</v>
      </c>
      <c r="AH263" s="70">
        <v>0</v>
      </c>
      <c r="AI263" s="70">
        <v>0</v>
      </c>
      <c r="AJ263" s="72" t="s">
        <v>478</v>
      </c>
    </row>
    <row r="264" spans="1:36" customFormat="1" x14ac:dyDescent="0.25">
      <c r="A264" s="68">
        <v>257</v>
      </c>
      <c r="B264" s="69" t="s">
        <v>275</v>
      </c>
      <c r="C264" s="69" t="s">
        <v>275</v>
      </c>
      <c r="D264" s="69" t="s">
        <v>725</v>
      </c>
      <c r="E264" s="69" t="s">
        <v>1038</v>
      </c>
      <c r="F264" s="69" t="s">
        <v>724</v>
      </c>
      <c r="G264" s="69" t="s">
        <v>237</v>
      </c>
      <c r="H264" s="70">
        <v>1.6999999999999999E-3</v>
      </c>
      <c r="I264" s="70">
        <v>1.3599999999999999E-3</v>
      </c>
      <c r="J264" s="70">
        <v>2.0400000000000001E-3</v>
      </c>
      <c r="K264" s="70">
        <v>1.9266666666666723E-8</v>
      </c>
      <c r="L264" s="71">
        <v>0</v>
      </c>
      <c r="M264" s="71">
        <v>0</v>
      </c>
      <c r="N264" s="71">
        <v>0</v>
      </c>
      <c r="O264" s="71">
        <v>0</v>
      </c>
      <c r="P264" s="70">
        <v>1.6999999999999999E-3</v>
      </c>
      <c r="Q264" s="70">
        <v>1.3599999999999999E-3</v>
      </c>
      <c r="R264" s="70">
        <v>2.0400000000000001E-3</v>
      </c>
      <c r="S264" s="70">
        <v>1.9266666666666723E-8</v>
      </c>
      <c r="T264" s="71">
        <v>1.6999999999999999E-3</v>
      </c>
      <c r="U264" s="71">
        <v>1.3599999999999999E-3</v>
      </c>
      <c r="V264" s="71">
        <v>2.0400000000000001E-3</v>
      </c>
      <c r="W264" s="71">
        <v>1.9266666666666723E-8</v>
      </c>
      <c r="X264" s="70">
        <v>1.6999999999999999E-3</v>
      </c>
      <c r="Y264" s="70">
        <v>1.3599999999999999E-3</v>
      </c>
      <c r="Z264" s="70">
        <v>2.0400000000000001E-3</v>
      </c>
      <c r="AA264" s="70">
        <v>1.9266666666666723E-8</v>
      </c>
      <c r="AB264" s="71">
        <v>1.6999999999999999E-3</v>
      </c>
      <c r="AC264" s="71">
        <v>1.3599999999999999E-3</v>
      </c>
      <c r="AD264" s="71">
        <v>2.0400000000000001E-3</v>
      </c>
      <c r="AE264" s="71">
        <v>1.9266666666666723E-8</v>
      </c>
      <c r="AF264" s="70">
        <v>1.6999999999999999E-3</v>
      </c>
      <c r="AG264" s="70">
        <v>1.3599999999999999E-3</v>
      </c>
      <c r="AH264" s="70">
        <v>2.0400000000000001E-3</v>
      </c>
      <c r="AI264" s="70">
        <v>1.9266666666666723E-8</v>
      </c>
      <c r="AJ264" s="72" t="s">
        <v>478</v>
      </c>
    </row>
    <row r="265" spans="1:36" customFormat="1" x14ac:dyDescent="0.25">
      <c r="A265" s="68">
        <v>258</v>
      </c>
      <c r="B265" s="69" t="s">
        <v>275</v>
      </c>
      <c r="C265" s="69" t="s">
        <v>275</v>
      </c>
      <c r="D265" s="69" t="s">
        <v>726</v>
      </c>
      <c r="E265" s="69" t="s">
        <v>1039</v>
      </c>
      <c r="F265" s="69" t="s">
        <v>724</v>
      </c>
      <c r="G265" s="69" t="s">
        <v>237</v>
      </c>
      <c r="H265" s="70">
        <v>1.6999999999999999E-3</v>
      </c>
      <c r="I265" s="70">
        <v>1.3599999999999999E-3</v>
      </c>
      <c r="J265" s="70">
        <v>2.0400000000000001E-3</v>
      </c>
      <c r="K265" s="70">
        <v>1.9266666666666723E-8</v>
      </c>
      <c r="L265" s="71">
        <v>0</v>
      </c>
      <c r="M265" s="71">
        <v>0</v>
      </c>
      <c r="N265" s="71">
        <v>0</v>
      </c>
      <c r="O265" s="71">
        <v>0</v>
      </c>
      <c r="P265" s="70">
        <v>1.6999999999999999E-3</v>
      </c>
      <c r="Q265" s="70">
        <v>1.3599999999999999E-3</v>
      </c>
      <c r="R265" s="70">
        <v>2.0400000000000001E-3</v>
      </c>
      <c r="S265" s="70">
        <v>1.9266666666666723E-8</v>
      </c>
      <c r="T265" s="71">
        <v>1.6999999999999999E-3</v>
      </c>
      <c r="U265" s="71">
        <v>1.3599999999999999E-3</v>
      </c>
      <c r="V265" s="71">
        <v>2.0400000000000001E-3</v>
      </c>
      <c r="W265" s="71">
        <v>1.9266666666666723E-8</v>
      </c>
      <c r="X265" s="70">
        <v>1.6999999999999999E-3</v>
      </c>
      <c r="Y265" s="70">
        <v>1.3599999999999999E-3</v>
      </c>
      <c r="Z265" s="70">
        <v>2.0400000000000001E-3</v>
      </c>
      <c r="AA265" s="70">
        <v>1.9266666666666723E-8</v>
      </c>
      <c r="AB265" s="71">
        <v>1.6999999999999999E-3</v>
      </c>
      <c r="AC265" s="71">
        <v>1.3599999999999999E-3</v>
      </c>
      <c r="AD265" s="71">
        <v>2.0400000000000001E-3</v>
      </c>
      <c r="AE265" s="71">
        <v>1.9266666666666723E-8</v>
      </c>
      <c r="AF265" s="70">
        <v>1.6999999999999999E-3</v>
      </c>
      <c r="AG265" s="70">
        <v>1.3599999999999999E-3</v>
      </c>
      <c r="AH265" s="70">
        <v>2.0400000000000001E-3</v>
      </c>
      <c r="AI265" s="70">
        <v>1.9266666666666723E-8</v>
      </c>
      <c r="AJ265" s="72" t="s">
        <v>478</v>
      </c>
    </row>
    <row r="266" spans="1:36" customFormat="1" x14ac:dyDescent="0.25">
      <c r="A266" s="68">
        <v>259</v>
      </c>
      <c r="B266" s="69" t="s">
        <v>275</v>
      </c>
      <c r="C266" s="69" t="s">
        <v>275</v>
      </c>
      <c r="D266" s="69" t="s">
        <v>727</v>
      </c>
      <c r="E266" s="69" t="s">
        <v>881</v>
      </c>
      <c r="F266" s="69" t="s">
        <v>724</v>
      </c>
      <c r="G266" s="69" t="s">
        <v>237</v>
      </c>
      <c r="H266" s="70">
        <v>4.0999999999999995E-3</v>
      </c>
      <c r="I266" s="70">
        <v>3.2799999999999995E-3</v>
      </c>
      <c r="J266" s="70">
        <v>4.919999999999999E-3</v>
      </c>
      <c r="K266" s="70">
        <v>1.1206666666666676E-7</v>
      </c>
      <c r="L266" s="71">
        <v>0</v>
      </c>
      <c r="M266" s="71">
        <v>0</v>
      </c>
      <c r="N266" s="71">
        <v>0</v>
      </c>
      <c r="O266" s="71">
        <v>0</v>
      </c>
      <c r="P266" s="70">
        <v>4.0999999999999995E-3</v>
      </c>
      <c r="Q266" s="70">
        <v>3.2799999999999995E-3</v>
      </c>
      <c r="R266" s="70">
        <v>4.919999999999999E-3</v>
      </c>
      <c r="S266" s="70">
        <v>1.1206666666666676E-7</v>
      </c>
      <c r="T266" s="71">
        <v>4.0999999999999995E-3</v>
      </c>
      <c r="U266" s="71">
        <v>3.2799999999999995E-3</v>
      </c>
      <c r="V266" s="71">
        <v>4.919999999999999E-3</v>
      </c>
      <c r="W266" s="71">
        <v>1.1206666666666676E-7</v>
      </c>
      <c r="X266" s="70">
        <v>4.0999999999999995E-3</v>
      </c>
      <c r="Y266" s="70">
        <v>3.2799999999999995E-3</v>
      </c>
      <c r="Z266" s="70">
        <v>4.919999999999999E-3</v>
      </c>
      <c r="AA266" s="70">
        <v>1.1206666666666676E-7</v>
      </c>
      <c r="AB266" s="71">
        <v>4.0999999999999995E-3</v>
      </c>
      <c r="AC266" s="71">
        <v>3.2799999999999995E-3</v>
      </c>
      <c r="AD266" s="71">
        <v>4.919999999999999E-3</v>
      </c>
      <c r="AE266" s="71">
        <v>1.1206666666666676E-7</v>
      </c>
      <c r="AF266" s="70">
        <v>4.0999999999999995E-3</v>
      </c>
      <c r="AG266" s="70">
        <v>3.2799999999999995E-3</v>
      </c>
      <c r="AH266" s="70">
        <v>4.919999999999999E-3</v>
      </c>
      <c r="AI266" s="70">
        <v>1.1206666666666676E-7</v>
      </c>
      <c r="AJ266" s="72" t="s">
        <v>478</v>
      </c>
    </row>
    <row r="267" spans="1:36" customFormat="1" x14ac:dyDescent="0.25">
      <c r="A267" s="68">
        <v>260</v>
      </c>
      <c r="B267" s="69" t="s">
        <v>275</v>
      </c>
      <c r="C267" s="69" t="s">
        <v>275</v>
      </c>
      <c r="D267" s="69" t="s">
        <v>728</v>
      </c>
      <c r="E267" s="69" t="s">
        <v>882</v>
      </c>
      <c r="F267" s="69" t="s">
        <v>724</v>
      </c>
      <c r="G267" s="69" t="s">
        <v>237</v>
      </c>
      <c r="H267" s="70">
        <v>6.4000000000000003E-3</v>
      </c>
      <c r="I267" s="70">
        <v>5.1200000000000004E-3</v>
      </c>
      <c r="J267" s="70">
        <v>7.6800000000000002E-3</v>
      </c>
      <c r="K267" s="70">
        <v>2.7306666666666572E-7</v>
      </c>
      <c r="L267" s="71">
        <v>6.4000000000000003E-3</v>
      </c>
      <c r="M267" s="71">
        <v>5.1200000000000004E-3</v>
      </c>
      <c r="N267" s="71">
        <v>7.6800000000000002E-3</v>
      </c>
      <c r="O267" s="71">
        <v>2.7306666666666572E-7</v>
      </c>
      <c r="P267" s="70">
        <v>6.4000000000000003E-3</v>
      </c>
      <c r="Q267" s="70">
        <v>5.1200000000000004E-3</v>
      </c>
      <c r="R267" s="70">
        <v>7.6800000000000002E-3</v>
      </c>
      <c r="S267" s="70">
        <v>2.7306666666666572E-7</v>
      </c>
      <c r="T267" s="71">
        <v>6.4000000000000003E-3</v>
      </c>
      <c r="U267" s="71">
        <v>5.1200000000000004E-3</v>
      </c>
      <c r="V267" s="71">
        <v>7.6800000000000002E-3</v>
      </c>
      <c r="W267" s="71">
        <v>2.7306666666666572E-7</v>
      </c>
      <c r="X267" s="70">
        <v>6.4000000000000003E-3</v>
      </c>
      <c r="Y267" s="70">
        <v>5.1200000000000004E-3</v>
      </c>
      <c r="Z267" s="70">
        <v>7.6800000000000002E-3</v>
      </c>
      <c r="AA267" s="70">
        <v>2.7306666666666572E-7</v>
      </c>
      <c r="AB267" s="71">
        <v>6.4000000000000003E-3</v>
      </c>
      <c r="AC267" s="71">
        <v>5.1200000000000004E-3</v>
      </c>
      <c r="AD267" s="71">
        <v>7.6800000000000002E-3</v>
      </c>
      <c r="AE267" s="71">
        <v>2.7306666666666572E-7</v>
      </c>
      <c r="AF267" s="70">
        <v>6.4000000000000003E-3</v>
      </c>
      <c r="AG267" s="70">
        <v>5.1200000000000004E-3</v>
      </c>
      <c r="AH267" s="70">
        <v>7.6800000000000002E-3</v>
      </c>
      <c r="AI267" s="70">
        <v>2.7306666666666572E-7</v>
      </c>
      <c r="AJ267" s="72" t="s">
        <v>478</v>
      </c>
    </row>
    <row r="268" spans="1:36" customFormat="1" x14ac:dyDescent="0.25">
      <c r="A268" s="68">
        <v>261</v>
      </c>
      <c r="B268" s="69" t="s">
        <v>927</v>
      </c>
      <c r="C268" s="69" t="s">
        <v>929</v>
      </c>
      <c r="D268" s="69" t="s">
        <v>729</v>
      </c>
      <c r="E268" s="69" t="s">
        <v>730</v>
      </c>
      <c r="F268" s="69" t="s">
        <v>731</v>
      </c>
      <c r="G268" s="69" t="s">
        <v>237</v>
      </c>
      <c r="H268" s="70">
        <v>0.53096829999999995</v>
      </c>
      <c r="I268" s="70">
        <v>0.42477463999999998</v>
      </c>
      <c r="J268" s="70">
        <v>0.63716195999999992</v>
      </c>
      <c r="K268" s="70">
        <v>1.87951557069927E-3</v>
      </c>
      <c r="L268" s="71">
        <v>0.53096829999999995</v>
      </c>
      <c r="M268" s="71">
        <v>0.42477463999999998</v>
      </c>
      <c r="N268" s="71">
        <v>0.63716195999999992</v>
      </c>
      <c r="O268" s="71">
        <v>1.87951557069927E-3</v>
      </c>
      <c r="P268" s="70">
        <v>0.53096829999999995</v>
      </c>
      <c r="Q268" s="70">
        <v>0.42477463999999998</v>
      </c>
      <c r="R268" s="70">
        <v>0.63716195999999992</v>
      </c>
      <c r="S268" s="70">
        <v>1.87951557069927E-3</v>
      </c>
      <c r="T268" s="71">
        <v>0.53096829999999995</v>
      </c>
      <c r="U268" s="71">
        <v>0.42477463999999998</v>
      </c>
      <c r="V268" s="71">
        <v>0.63716195999999992</v>
      </c>
      <c r="W268" s="71">
        <v>1.87951557069927E-3</v>
      </c>
      <c r="X268" s="70">
        <v>0.53096829999999995</v>
      </c>
      <c r="Y268" s="70">
        <v>0.42477463999999998</v>
      </c>
      <c r="Z268" s="70">
        <v>0.63716195999999992</v>
      </c>
      <c r="AA268" s="70">
        <v>1.87951557069927E-3</v>
      </c>
      <c r="AB268" s="71">
        <v>0.53096829999999995</v>
      </c>
      <c r="AC268" s="71">
        <v>0.42477463999999998</v>
      </c>
      <c r="AD268" s="71">
        <v>0.63716195999999992</v>
      </c>
      <c r="AE268" s="71">
        <v>1.87951557069927E-3</v>
      </c>
      <c r="AF268" s="70">
        <v>0.53096829999999995</v>
      </c>
      <c r="AG268" s="70">
        <v>0.42477463999999998</v>
      </c>
      <c r="AH268" s="70">
        <v>0.63716195999999992</v>
      </c>
      <c r="AI268" s="70">
        <v>1.87951557069927E-3</v>
      </c>
      <c r="AJ268" s="72" t="s">
        <v>478</v>
      </c>
    </row>
    <row r="269" spans="1:36" customFormat="1" x14ac:dyDescent="0.25">
      <c r="A269" s="68">
        <v>262</v>
      </c>
      <c r="B269" s="69" t="s">
        <v>927</v>
      </c>
      <c r="C269" s="69" t="s">
        <v>929</v>
      </c>
      <c r="D269" s="69" t="s">
        <v>732</v>
      </c>
      <c r="E269" s="69" t="s">
        <v>733</v>
      </c>
      <c r="F269" s="69" t="s">
        <v>734</v>
      </c>
      <c r="G269" s="69" t="s">
        <v>237</v>
      </c>
      <c r="H269" s="70">
        <v>0.52271374727236652</v>
      </c>
      <c r="I269" s="70">
        <v>0.41817099781789324</v>
      </c>
      <c r="J269" s="70">
        <v>0.62725649672683981</v>
      </c>
      <c r="K269" s="70">
        <v>1.8215310772501288E-3</v>
      </c>
      <c r="L269" s="71">
        <v>0.52271374727236652</v>
      </c>
      <c r="M269" s="71">
        <v>0.41817099781789324</v>
      </c>
      <c r="N269" s="71">
        <v>0.62725649672683981</v>
      </c>
      <c r="O269" s="71">
        <v>1.8215310772501288E-3</v>
      </c>
      <c r="P269" s="70">
        <v>0.52271374727236652</v>
      </c>
      <c r="Q269" s="70">
        <v>0.41817099781789324</v>
      </c>
      <c r="R269" s="70">
        <v>0.62725649672683981</v>
      </c>
      <c r="S269" s="70">
        <v>1.8215310772501288E-3</v>
      </c>
      <c r="T269" s="71">
        <v>0.52271374727236652</v>
      </c>
      <c r="U269" s="71">
        <v>0.41817099781789324</v>
      </c>
      <c r="V269" s="71">
        <v>0.62725649672683981</v>
      </c>
      <c r="W269" s="71">
        <v>1.8215310772501288E-3</v>
      </c>
      <c r="X269" s="70">
        <v>0.52271374727236652</v>
      </c>
      <c r="Y269" s="70">
        <v>0.41817099781789324</v>
      </c>
      <c r="Z269" s="70">
        <v>0.62725649672683981</v>
      </c>
      <c r="AA269" s="70">
        <v>1.8215310772501288E-3</v>
      </c>
      <c r="AB269" s="71">
        <v>0.52271374727236652</v>
      </c>
      <c r="AC269" s="71">
        <v>0.41817099781789324</v>
      </c>
      <c r="AD269" s="71">
        <v>0.62725649672683981</v>
      </c>
      <c r="AE269" s="71">
        <v>1.8215310772501288E-3</v>
      </c>
      <c r="AF269" s="70">
        <v>0.52271374727236652</v>
      </c>
      <c r="AG269" s="70">
        <v>0.41817099781789324</v>
      </c>
      <c r="AH269" s="70">
        <v>0.62725649672683981</v>
      </c>
      <c r="AI269" s="70">
        <v>1.8215310772501288E-3</v>
      </c>
      <c r="AJ269" s="72" t="s">
        <v>478</v>
      </c>
    </row>
    <row r="270" spans="1:36" customFormat="1" x14ac:dyDescent="0.25">
      <c r="A270" s="68">
        <v>263</v>
      </c>
      <c r="B270" s="69" t="s">
        <v>927</v>
      </c>
      <c r="C270" s="69" t="s">
        <v>929</v>
      </c>
      <c r="D270" s="69" t="s">
        <v>735</v>
      </c>
      <c r="E270" s="69" t="s">
        <v>736</v>
      </c>
      <c r="F270" s="69" t="s">
        <v>737</v>
      </c>
      <c r="G270" s="69" t="s">
        <v>237</v>
      </c>
      <c r="H270" s="70">
        <v>0.23447899999999999</v>
      </c>
      <c r="I270" s="70">
        <v>0.18758320000000001</v>
      </c>
      <c r="J270" s="70">
        <v>0.28137479999999998</v>
      </c>
      <c r="K270" s="70">
        <v>3.6653600960666642E-4</v>
      </c>
      <c r="L270" s="71">
        <v>0.23447899999999999</v>
      </c>
      <c r="M270" s="71">
        <v>0.18758320000000001</v>
      </c>
      <c r="N270" s="71">
        <v>0.28137479999999998</v>
      </c>
      <c r="O270" s="71">
        <v>3.6653600960666642E-4</v>
      </c>
      <c r="P270" s="70">
        <v>0.23447899999999999</v>
      </c>
      <c r="Q270" s="70">
        <v>0.18758320000000001</v>
      </c>
      <c r="R270" s="70">
        <v>0.28137479999999998</v>
      </c>
      <c r="S270" s="70">
        <v>3.6653600960666642E-4</v>
      </c>
      <c r="T270" s="71">
        <v>0.23447899999999999</v>
      </c>
      <c r="U270" s="71">
        <v>0.18758320000000001</v>
      </c>
      <c r="V270" s="71">
        <v>0.28137479999999998</v>
      </c>
      <c r="W270" s="71">
        <v>3.6653600960666642E-4</v>
      </c>
      <c r="X270" s="70">
        <v>0.23447899999999999</v>
      </c>
      <c r="Y270" s="70">
        <v>0.18758320000000001</v>
      </c>
      <c r="Z270" s="70">
        <v>0.28137479999999998</v>
      </c>
      <c r="AA270" s="70">
        <v>3.6653600960666642E-4</v>
      </c>
      <c r="AB270" s="71">
        <v>0.23447899999999999</v>
      </c>
      <c r="AC270" s="71">
        <v>0.18758320000000001</v>
      </c>
      <c r="AD270" s="71">
        <v>0.28137479999999998</v>
      </c>
      <c r="AE270" s="71">
        <v>3.6653600960666642E-4</v>
      </c>
      <c r="AF270" s="70">
        <v>0.23447899999999999</v>
      </c>
      <c r="AG270" s="70">
        <v>0.18758320000000001</v>
      </c>
      <c r="AH270" s="70">
        <v>0.28137479999999998</v>
      </c>
      <c r="AI270" s="70">
        <v>3.6653600960666642E-4</v>
      </c>
      <c r="AJ270" s="72" t="s">
        <v>478</v>
      </c>
    </row>
    <row r="271" spans="1:36" customFormat="1" x14ac:dyDescent="0.25">
      <c r="A271" s="68">
        <v>264</v>
      </c>
      <c r="B271" s="69" t="s">
        <v>238</v>
      </c>
      <c r="C271" s="69" t="s">
        <v>936</v>
      </c>
      <c r="D271" s="69" t="s">
        <v>738</v>
      </c>
      <c r="E271" s="69" t="s">
        <v>883</v>
      </c>
      <c r="F271" s="69" t="s">
        <v>739</v>
      </c>
      <c r="G271" s="69" t="s">
        <v>237</v>
      </c>
      <c r="H271" s="70">
        <v>0</v>
      </c>
      <c r="I271" s="70">
        <v>0</v>
      </c>
      <c r="J271" s="70">
        <v>0</v>
      </c>
      <c r="K271" s="70">
        <v>0</v>
      </c>
      <c r="L271" s="71">
        <v>11635175.142650241</v>
      </c>
      <c r="M271" s="71">
        <v>9308140.1141201928</v>
      </c>
      <c r="N271" s="71">
        <v>13962210.171180289</v>
      </c>
      <c r="O271" s="71">
        <v>902515337334.30554</v>
      </c>
      <c r="P271" s="70">
        <v>15461005.287504181</v>
      </c>
      <c r="Q271" s="70">
        <v>12368804.230003346</v>
      </c>
      <c r="R271" s="70">
        <v>18553206.345005017</v>
      </c>
      <c r="S271" s="70">
        <v>1593617896668.2151</v>
      </c>
      <c r="T271" s="71">
        <v>15461005.287504181</v>
      </c>
      <c r="U271" s="71">
        <v>12368804.230003346</v>
      </c>
      <c r="V271" s="71">
        <v>18553206.345005017</v>
      </c>
      <c r="W271" s="71">
        <v>1593617896668.2151</v>
      </c>
      <c r="X271" s="70">
        <v>6419406.9752553059</v>
      </c>
      <c r="Y271" s="70">
        <v>5135525.5802042447</v>
      </c>
      <c r="Z271" s="70">
        <v>7703288.3703063671</v>
      </c>
      <c r="AA271" s="70">
        <v>274725239426.37585</v>
      </c>
      <c r="AB271" s="71">
        <v>814462.2599855169</v>
      </c>
      <c r="AC271" s="71">
        <v>651569.80798841349</v>
      </c>
      <c r="AD271" s="71">
        <v>977354.7119826203</v>
      </c>
      <c r="AE271" s="71">
        <v>4422325152.9381104</v>
      </c>
      <c r="AF271" s="70">
        <v>0</v>
      </c>
      <c r="AG271" s="70">
        <v>0</v>
      </c>
      <c r="AH271" s="70">
        <v>0</v>
      </c>
      <c r="AI271" s="70">
        <v>0</v>
      </c>
      <c r="AJ271" s="72" t="s">
        <v>478</v>
      </c>
    </row>
    <row r="272" spans="1:36" customFormat="1" x14ac:dyDescent="0.25">
      <c r="A272" s="68">
        <v>265</v>
      </c>
      <c r="B272" s="69" t="s">
        <v>238</v>
      </c>
      <c r="C272" s="69" t="s">
        <v>936</v>
      </c>
      <c r="D272" s="69" t="s">
        <v>740</v>
      </c>
      <c r="E272" s="69" t="s">
        <v>843</v>
      </c>
      <c r="F272" s="69" t="s">
        <v>739</v>
      </c>
      <c r="G272" s="69" t="s">
        <v>237</v>
      </c>
      <c r="H272" s="70">
        <v>0</v>
      </c>
      <c r="I272" s="70">
        <v>0</v>
      </c>
      <c r="J272" s="70">
        <v>0</v>
      </c>
      <c r="K272" s="70">
        <v>0</v>
      </c>
      <c r="L272" s="71">
        <v>4988000</v>
      </c>
      <c r="M272" s="71">
        <v>3990400</v>
      </c>
      <c r="N272" s="71">
        <v>5985600</v>
      </c>
      <c r="O272" s="71">
        <v>165867626666.66666</v>
      </c>
      <c r="P272" s="70">
        <v>6628133.5199999996</v>
      </c>
      <c r="Q272" s="70">
        <v>5302506.8159999996</v>
      </c>
      <c r="R272" s="70">
        <v>7953760.2239999995</v>
      </c>
      <c r="S272" s="70">
        <v>292881026392.98395</v>
      </c>
      <c r="T272" s="71">
        <v>6628133.5199999996</v>
      </c>
      <c r="U272" s="71">
        <v>5302506.8159999996</v>
      </c>
      <c r="V272" s="71">
        <v>7953760.2239999995</v>
      </c>
      <c r="W272" s="71">
        <v>292881026392.98395</v>
      </c>
      <c r="X272" s="70">
        <v>2752000</v>
      </c>
      <c r="Y272" s="70">
        <v>2201600</v>
      </c>
      <c r="Z272" s="70">
        <v>3302400</v>
      </c>
      <c r="AA272" s="70">
        <v>50490026666.666664</v>
      </c>
      <c r="AB272" s="71">
        <v>152250</v>
      </c>
      <c r="AC272" s="71">
        <v>121800</v>
      </c>
      <c r="AD272" s="71">
        <v>182700</v>
      </c>
      <c r="AE272" s="71">
        <v>154533750</v>
      </c>
      <c r="AF272" s="70">
        <v>0</v>
      </c>
      <c r="AG272" s="70">
        <v>0</v>
      </c>
      <c r="AH272" s="70">
        <v>0</v>
      </c>
      <c r="AI272" s="70">
        <v>0</v>
      </c>
      <c r="AJ272" s="72" t="s">
        <v>478</v>
      </c>
    </row>
    <row r="273" spans="1:36" customFormat="1" x14ac:dyDescent="0.25">
      <c r="A273" s="68">
        <v>266</v>
      </c>
      <c r="B273" s="69" t="s">
        <v>238</v>
      </c>
      <c r="C273" s="69" t="s">
        <v>936</v>
      </c>
      <c r="D273" s="69" t="s">
        <v>741</v>
      </c>
      <c r="E273" s="69" t="s">
        <v>844</v>
      </c>
      <c r="F273" s="69" t="s">
        <v>739</v>
      </c>
      <c r="G273" s="69" t="s">
        <v>237</v>
      </c>
      <c r="H273" s="70">
        <v>0</v>
      </c>
      <c r="I273" s="70">
        <v>0</v>
      </c>
      <c r="J273" s="70">
        <v>0</v>
      </c>
      <c r="K273" s="70">
        <v>0</v>
      </c>
      <c r="L273" s="71">
        <v>721375.0172</v>
      </c>
      <c r="M273" s="71">
        <v>577100.01376</v>
      </c>
      <c r="N273" s="71">
        <v>865650.02064</v>
      </c>
      <c r="O273" s="71">
        <v>3469212769.6020098</v>
      </c>
      <c r="P273" s="70">
        <v>958574.55969999998</v>
      </c>
      <c r="Q273" s="70">
        <v>766859.64775999996</v>
      </c>
      <c r="R273" s="70">
        <v>1150289.4716400001</v>
      </c>
      <c r="S273" s="70">
        <v>6125767910.0270042</v>
      </c>
      <c r="T273" s="71">
        <v>958574.55969999998</v>
      </c>
      <c r="U273" s="71">
        <v>766859.64775999996</v>
      </c>
      <c r="V273" s="71">
        <v>1150289.4716400001</v>
      </c>
      <c r="W273" s="71">
        <v>6125767910.0270042</v>
      </c>
      <c r="X273" s="70">
        <v>398000.0172</v>
      </c>
      <c r="Y273" s="70">
        <v>318400.01376</v>
      </c>
      <c r="Z273" s="70">
        <v>477600.02064</v>
      </c>
      <c r="AA273" s="70">
        <v>1056026757.9413401</v>
      </c>
      <c r="AB273" s="71">
        <v>50496.2575</v>
      </c>
      <c r="AC273" s="71">
        <v>40397.006000000001</v>
      </c>
      <c r="AD273" s="71">
        <v>60595.508999999998</v>
      </c>
      <c r="AE273" s="71">
        <v>16999146.810042117</v>
      </c>
      <c r="AF273" s="70">
        <v>0</v>
      </c>
      <c r="AG273" s="70">
        <v>0</v>
      </c>
      <c r="AH273" s="70">
        <v>0</v>
      </c>
      <c r="AI273" s="70">
        <v>0</v>
      </c>
      <c r="AJ273" s="72" t="s">
        <v>478</v>
      </c>
    </row>
    <row r="274" spans="1:36" customFormat="1" x14ac:dyDescent="0.25">
      <c r="A274" s="68">
        <v>267</v>
      </c>
      <c r="B274" s="69" t="s">
        <v>238</v>
      </c>
      <c r="C274" s="69" t="s">
        <v>936</v>
      </c>
      <c r="D274" s="69" t="s">
        <v>742</v>
      </c>
      <c r="E274" s="69" t="s">
        <v>743</v>
      </c>
      <c r="F274" s="69" t="s">
        <v>744</v>
      </c>
      <c r="G274" s="69" t="s">
        <v>237</v>
      </c>
      <c r="H274" s="70">
        <v>0.29399999999999998</v>
      </c>
      <c r="I274" s="70">
        <v>0.23519999999999999</v>
      </c>
      <c r="J274" s="70">
        <v>0.3528</v>
      </c>
      <c r="K274" s="70">
        <v>5.7623999999999794E-4</v>
      </c>
      <c r="L274" s="71">
        <v>0.29399999999999998</v>
      </c>
      <c r="M274" s="71">
        <v>0.23519999999999999</v>
      </c>
      <c r="N274" s="71">
        <v>0.3528</v>
      </c>
      <c r="O274" s="71">
        <v>5.7623999999999794E-4</v>
      </c>
      <c r="P274" s="70">
        <v>0.29399999999999998</v>
      </c>
      <c r="Q274" s="70">
        <v>0.23519999999999999</v>
      </c>
      <c r="R274" s="70">
        <v>0.3528</v>
      </c>
      <c r="S274" s="70">
        <v>5.7623999999999794E-4</v>
      </c>
      <c r="T274" s="71">
        <v>0.29399999999999998</v>
      </c>
      <c r="U274" s="71">
        <v>0.23519999999999999</v>
      </c>
      <c r="V274" s="71">
        <v>0.3528</v>
      </c>
      <c r="W274" s="71">
        <v>5.7623999999999794E-4</v>
      </c>
      <c r="X274" s="70">
        <v>0.29399999999999998</v>
      </c>
      <c r="Y274" s="70">
        <v>0.23519999999999999</v>
      </c>
      <c r="Z274" s="70">
        <v>0.3528</v>
      </c>
      <c r="AA274" s="70">
        <v>5.7623999999999794E-4</v>
      </c>
      <c r="AB274" s="71">
        <v>0.29399999999999998</v>
      </c>
      <c r="AC274" s="71">
        <v>0.23519999999999999</v>
      </c>
      <c r="AD274" s="71">
        <v>0.3528</v>
      </c>
      <c r="AE274" s="71">
        <v>5.7623999999999794E-4</v>
      </c>
      <c r="AF274" s="70">
        <v>0.29399999999999998</v>
      </c>
      <c r="AG274" s="70">
        <v>0.23519999999999999</v>
      </c>
      <c r="AH274" s="70">
        <v>0.3528</v>
      </c>
      <c r="AI274" s="70">
        <v>5.7623999999999794E-4</v>
      </c>
      <c r="AJ274" s="72" t="s">
        <v>478</v>
      </c>
    </row>
    <row r="275" spans="1:36" customFormat="1" x14ac:dyDescent="0.25">
      <c r="A275" s="68">
        <v>268</v>
      </c>
      <c r="B275" s="69" t="s">
        <v>238</v>
      </c>
      <c r="C275" s="69" t="s">
        <v>936</v>
      </c>
      <c r="D275" s="69" t="s">
        <v>745</v>
      </c>
      <c r="E275" s="69" t="s">
        <v>845</v>
      </c>
      <c r="F275" s="69" t="s">
        <v>744</v>
      </c>
      <c r="G275" s="69" t="s">
        <v>237</v>
      </c>
      <c r="H275" s="70">
        <v>1</v>
      </c>
      <c r="I275" s="70">
        <v>0.8</v>
      </c>
      <c r="J275" s="70">
        <v>1.2</v>
      </c>
      <c r="K275" s="70">
        <v>6.6666666666666723E-3</v>
      </c>
      <c r="L275" s="71">
        <v>1</v>
      </c>
      <c r="M275" s="71">
        <v>0.8</v>
      </c>
      <c r="N275" s="71">
        <v>1.2</v>
      </c>
      <c r="O275" s="71">
        <v>6.6666666666666723E-3</v>
      </c>
      <c r="P275" s="70">
        <v>1</v>
      </c>
      <c r="Q275" s="70">
        <v>0.8</v>
      </c>
      <c r="R275" s="70">
        <v>1.2</v>
      </c>
      <c r="S275" s="70">
        <v>6.6666666666666723E-3</v>
      </c>
      <c r="T275" s="71">
        <v>1</v>
      </c>
      <c r="U275" s="71">
        <v>0.8</v>
      </c>
      <c r="V275" s="71">
        <v>1.2</v>
      </c>
      <c r="W275" s="71">
        <v>6.6666666666666723E-3</v>
      </c>
      <c r="X275" s="70">
        <v>1</v>
      </c>
      <c r="Y275" s="70">
        <v>0.8</v>
      </c>
      <c r="Z275" s="70">
        <v>1.2</v>
      </c>
      <c r="AA275" s="70">
        <v>6.6666666666666723E-3</v>
      </c>
      <c r="AB275" s="71">
        <v>1</v>
      </c>
      <c r="AC275" s="71">
        <v>0.8</v>
      </c>
      <c r="AD275" s="71">
        <v>1.2</v>
      </c>
      <c r="AE275" s="71">
        <v>6.6666666666666723E-3</v>
      </c>
      <c r="AF275" s="70">
        <v>1</v>
      </c>
      <c r="AG275" s="70">
        <v>0.8</v>
      </c>
      <c r="AH275" s="70">
        <v>1.2</v>
      </c>
      <c r="AI275" s="70">
        <v>6.6666666666666723E-3</v>
      </c>
      <c r="AJ275" s="72" t="s">
        <v>478</v>
      </c>
    </row>
    <row r="276" spans="1:36" customFormat="1" x14ac:dyDescent="0.25">
      <c r="A276" s="68">
        <v>269</v>
      </c>
      <c r="B276" s="69" t="s">
        <v>238</v>
      </c>
      <c r="C276" s="69" t="s">
        <v>936</v>
      </c>
      <c r="D276" s="69" t="s">
        <v>746</v>
      </c>
      <c r="E276" s="69" t="s">
        <v>846</v>
      </c>
      <c r="F276" s="69" t="s">
        <v>744</v>
      </c>
      <c r="G276" s="69" t="s">
        <v>237</v>
      </c>
      <c r="H276" s="70">
        <v>1.25E-3</v>
      </c>
      <c r="I276" s="70">
        <v>1E-3</v>
      </c>
      <c r="J276" s="70">
        <v>1.5E-3</v>
      </c>
      <c r="K276" s="70">
        <v>1.0416666666666672E-8</v>
      </c>
      <c r="L276" s="73">
        <v>1.25E-3</v>
      </c>
      <c r="M276" s="73">
        <v>1E-3</v>
      </c>
      <c r="N276" s="73">
        <v>1.5E-3</v>
      </c>
      <c r="O276" s="73">
        <v>1.0416666666666672E-8</v>
      </c>
      <c r="P276" s="70">
        <v>1.25E-3</v>
      </c>
      <c r="Q276" s="70">
        <v>1E-3</v>
      </c>
      <c r="R276" s="70">
        <v>1.5E-3</v>
      </c>
      <c r="S276" s="70">
        <v>1.0416666666666672E-8</v>
      </c>
      <c r="T276" s="71">
        <v>1.25E-3</v>
      </c>
      <c r="U276" s="71">
        <v>1E-3</v>
      </c>
      <c r="V276" s="71">
        <v>1.5E-3</v>
      </c>
      <c r="W276" s="71">
        <v>1.0416666666666672E-8</v>
      </c>
      <c r="X276" s="70">
        <v>1.25E-3</v>
      </c>
      <c r="Y276" s="70">
        <v>1E-3</v>
      </c>
      <c r="Z276" s="70">
        <v>1.5E-3</v>
      </c>
      <c r="AA276" s="70">
        <v>1.0416666666666672E-8</v>
      </c>
      <c r="AB276" s="71">
        <v>1.25E-3</v>
      </c>
      <c r="AC276" s="71">
        <v>1E-3</v>
      </c>
      <c r="AD276" s="71">
        <v>1.5E-3</v>
      </c>
      <c r="AE276" s="71">
        <v>1.0416666666666672E-8</v>
      </c>
      <c r="AF276" s="70">
        <v>1.25E-3</v>
      </c>
      <c r="AG276" s="70">
        <v>1E-3</v>
      </c>
      <c r="AH276" s="70">
        <v>1.5E-3</v>
      </c>
      <c r="AI276" s="70">
        <v>1.0416666666666672E-8</v>
      </c>
      <c r="AJ276" s="72" t="s">
        <v>478</v>
      </c>
    </row>
    <row r="277" spans="1:36" customFormat="1" x14ac:dyDescent="0.25">
      <c r="A277" s="68">
        <v>270</v>
      </c>
      <c r="B277" s="69" t="s">
        <v>238</v>
      </c>
      <c r="C277" s="69" t="s">
        <v>936</v>
      </c>
      <c r="D277" s="69" t="s">
        <v>747</v>
      </c>
      <c r="E277" s="69" t="s">
        <v>847</v>
      </c>
      <c r="F277" s="69" t="s">
        <v>744</v>
      </c>
      <c r="G277" s="69" t="s">
        <v>237</v>
      </c>
      <c r="H277" s="70">
        <v>1.25E-3</v>
      </c>
      <c r="I277" s="70">
        <v>1E-3</v>
      </c>
      <c r="J277" s="70">
        <v>1.5E-3</v>
      </c>
      <c r="K277" s="70">
        <v>1.0416666666666672E-8</v>
      </c>
      <c r="L277" s="71">
        <v>1.25E-3</v>
      </c>
      <c r="M277" s="71">
        <v>1E-3</v>
      </c>
      <c r="N277" s="71">
        <v>1.5E-3</v>
      </c>
      <c r="O277" s="71">
        <v>1.0416666666666672E-8</v>
      </c>
      <c r="P277" s="70">
        <v>1.25E-3</v>
      </c>
      <c r="Q277" s="70">
        <v>1E-3</v>
      </c>
      <c r="R277" s="70">
        <v>1.5E-3</v>
      </c>
      <c r="S277" s="70">
        <v>1.0416666666666672E-8</v>
      </c>
      <c r="T277" s="71">
        <v>1.25E-3</v>
      </c>
      <c r="U277" s="71">
        <v>1E-3</v>
      </c>
      <c r="V277" s="71">
        <v>1.5E-3</v>
      </c>
      <c r="W277" s="71">
        <v>1.0416666666666672E-8</v>
      </c>
      <c r="X277" s="70">
        <v>1.25E-3</v>
      </c>
      <c r="Y277" s="70">
        <v>1E-3</v>
      </c>
      <c r="Z277" s="70">
        <v>1.5E-3</v>
      </c>
      <c r="AA277" s="70">
        <v>1.0416666666666672E-8</v>
      </c>
      <c r="AB277" s="71">
        <v>1.25E-3</v>
      </c>
      <c r="AC277" s="71">
        <v>1E-3</v>
      </c>
      <c r="AD277" s="71">
        <v>1.5E-3</v>
      </c>
      <c r="AE277" s="71">
        <v>1.0416666666666672E-8</v>
      </c>
      <c r="AF277" s="70">
        <v>1.25E-3</v>
      </c>
      <c r="AG277" s="70">
        <v>1E-3</v>
      </c>
      <c r="AH277" s="70">
        <v>1.5E-3</v>
      </c>
      <c r="AI277" s="70">
        <v>1.0416666666666672E-8</v>
      </c>
      <c r="AJ277" s="72" t="s">
        <v>478</v>
      </c>
    </row>
    <row r="278" spans="1:36" customFormat="1" x14ac:dyDescent="0.25">
      <c r="A278" s="68">
        <v>271</v>
      </c>
      <c r="B278" s="69" t="s">
        <v>238</v>
      </c>
      <c r="C278" s="69" t="s">
        <v>936</v>
      </c>
      <c r="D278" s="69" t="s">
        <v>748</v>
      </c>
      <c r="E278" s="69" t="s">
        <v>749</v>
      </c>
      <c r="F278" s="69" t="s">
        <v>744</v>
      </c>
      <c r="G278" s="69" t="s">
        <v>237</v>
      </c>
      <c r="H278" s="70">
        <v>3.5000000000000003E-2</v>
      </c>
      <c r="I278" s="70">
        <v>2.8000000000000004E-2</v>
      </c>
      <c r="J278" s="70">
        <v>4.2000000000000003E-2</v>
      </c>
      <c r="K278" s="70">
        <v>8.1666666666666658E-6</v>
      </c>
      <c r="L278" s="71">
        <v>3.5000000000000003E-2</v>
      </c>
      <c r="M278" s="71">
        <v>2.8000000000000004E-2</v>
      </c>
      <c r="N278" s="71">
        <v>4.2000000000000003E-2</v>
      </c>
      <c r="O278" s="71">
        <v>8.1666666666666658E-6</v>
      </c>
      <c r="P278" s="70">
        <v>3.5000000000000003E-2</v>
      </c>
      <c r="Q278" s="70">
        <v>2.8000000000000004E-2</v>
      </c>
      <c r="R278" s="70">
        <v>4.2000000000000003E-2</v>
      </c>
      <c r="S278" s="70">
        <v>8.1666666666666658E-6</v>
      </c>
      <c r="T278" s="71">
        <v>3.5000000000000003E-2</v>
      </c>
      <c r="U278" s="71">
        <v>2.8000000000000004E-2</v>
      </c>
      <c r="V278" s="71">
        <v>4.2000000000000003E-2</v>
      </c>
      <c r="W278" s="71">
        <v>8.1666666666666658E-6</v>
      </c>
      <c r="X278" s="70">
        <v>3.5000000000000003E-2</v>
      </c>
      <c r="Y278" s="70">
        <v>2.8000000000000004E-2</v>
      </c>
      <c r="Z278" s="70">
        <v>4.2000000000000003E-2</v>
      </c>
      <c r="AA278" s="70">
        <v>8.1666666666666658E-6</v>
      </c>
      <c r="AB278" s="71">
        <v>3.5000000000000003E-2</v>
      </c>
      <c r="AC278" s="71">
        <v>2.8000000000000004E-2</v>
      </c>
      <c r="AD278" s="71">
        <v>4.2000000000000003E-2</v>
      </c>
      <c r="AE278" s="71">
        <v>8.1666666666666658E-6</v>
      </c>
      <c r="AF278" s="70">
        <v>3.5000000000000003E-2</v>
      </c>
      <c r="AG278" s="70">
        <v>2.8000000000000004E-2</v>
      </c>
      <c r="AH278" s="70">
        <v>4.2000000000000003E-2</v>
      </c>
      <c r="AI278" s="70">
        <v>8.1666666666666658E-6</v>
      </c>
      <c r="AJ278" s="72" t="s">
        <v>478</v>
      </c>
    </row>
    <row r="279" spans="1:36" customFormat="1" x14ac:dyDescent="0.25">
      <c r="A279" s="68">
        <v>272</v>
      </c>
      <c r="B279" s="69" t="s">
        <v>238</v>
      </c>
      <c r="C279" s="69" t="s">
        <v>936</v>
      </c>
      <c r="D279" s="69" t="s">
        <v>750</v>
      </c>
      <c r="E279" s="69" t="s">
        <v>751</v>
      </c>
      <c r="F279" s="69" t="s">
        <v>744</v>
      </c>
      <c r="G279" s="69" t="s">
        <v>237</v>
      </c>
      <c r="H279" s="70">
        <v>9.4281799999999999E-2</v>
      </c>
      <c r="I279" s="70">
        <v>7.5425439999999996E-2</v>
      </c>
      <c r="J279" s="70">
        <v>0.11313816</v>
      </c>
      <c r="K279" s="70">
        <v>5.926038540826647E-5</v>
      </c>
      <c r="L279" s="71">
        <v>9.4281799999999999E-2</v>
      </c>
      <c r="M279" s="71">
        <v>7.5425439999999996E-2</v>
      </c>
      <c r="N279" s="71">
        <v>0.11313816</v>
      </c>
      <c r="O279" s="71">
        <v>5.926038540826647E-5</v>
      </c>
      <c r="P279" s="70">
        <v>9.4281799999999999E-2</v>
      </c>
      <c r="Q279" s="70">
        <v>7.5425439999999996E-2</v>
      </c>
      <c r="R279" s="70">
        <v>0.11313816</v>
      </c>
      <c r="S279" s="70">
        <v>5.926038540826647E-5</v>
      </c>
      <c r="T279" s="71">
        <v>9.4281799999999999E-2</v>
      </c>
      <c r="U279" s="71">
        <v>7.5425439999999996E-2</v>
      </c>
      <c r="V279" s="71">
        <v>0.11313816</v>
      </c>
      <c r="W279" s="71">
        <v>5.926038540826647E-5</v>
      </c>
      <c r="X279" s="70">
        <v>9.4281799999999999E-2</v>
      </c>
      <c r="Y279" s="70">
        <v>7.5425439999999996E-2</v>
      </c>
      <c r="Z279" s="70">
        <v>0.11313816</v>
      </c>
      <c r="AA279" s="70">
        <v>5.926038540826647E-5</v>
      </c>
      <c r="AB279" s="71">
        <v>9.4281799999999999E-2</v>
      </c>
      <c r="AC279" s="71">
        <v>7.5425439999999996E-2</v>
      </c>
      <c r="AD279" s="71">
        <v>0.11313816</v>
      </c>
      <c r="AE279" s="71">
        <v>5.926038540826647E-5</v>
      </c>
      <c r="AF279" s="70">
        <v>9.4281799999999999E-2</v>
      </c>
      <c r="AG279" s="70">
        <v>7.5425439999999996E-2</v>
      </c>
      <c r="AH279" s="70">
        <v>0.11313816</v>
      </c>
      <c r="AI279" s="70">
        <v>5.926038540826647E-5</v>
      </c>
      <c r="AJ279" s="72" t="s">
        <v>478</v>
      </c>
    </row>
    <row r="280" spans="1:36" customFormat="1" x14ac:dyDescent="0.25">
      <c r="A280" s="68">
        <v>273</v>
      </c>
      <c r="B280" s="69" t="s">
        <v>238</v>
      </c>
      <c r="C280" s="69" t="s">
        <v>936</v>
      </c>
      <c r="D280" s="69" t="s">
        <v>752</v>
      </c>
      <c r="E280" s="69" t="s">
        <v>753</v>
      </c>
      <c r="F280" s="69" t="s">
        <v>744</v>
      </c>
      <c r="G280" s="69" t="s">
        <v>237</v>
      </c>
      <c r="H280" s="70">
        <v>0.33600000000000002</v>
      </c>
      <c r="I280" s="70">
        <v>0.26880000000000004</v>
      </c>
      <c r="J280" s="70">
        <v>0.4032</v>
      </c>
      <c r="K280" s="70">
        <v>7.5263999999999887E-4</v>
      </c>
      <c r="L280" s="71">
        <v>0.33600000000000002</v>
      </c>
      <c r="M280" s="71">
        <v>0.26880000000000004</v>
      </c>
      <c r="N280" s="71">
        <v>0.4032</v>
      </c>
      <c r="O280" s="71">
        <v>7.5263999999999887E-4</v>
      </c>
      <c r="P280" s="70">
        <v>0.33600000000000002</v>
      </c>
      <c r="Q280" s="70">
        <v>0.26880000000000004</v>
      </c>
      <c r="R280" s="70">
        <v>0.4032</v>
      </c>
      <c r="S280" s="70">
        <v>7.5263999999999887E-4</v>
      </c>
      <c r="T280" s="71">
        <v>0.33600000000000002</v>
      </c>
      <c r="U280" s="71">
        <v>0.26880000000000004</v>
      </c>
      <c r="V280" s="71">
        <v>0.4032</v>
      </c>
      <c r="W280" s="71">
        <v>7.5263999999999887E-4</v>
      </c>
      <c r="X280" s="70">
        <v>0.33600000000000002</v>
      </c>
      <c r="Y280" s="70">
        <v>0.26880000000000004</v>
      </c>
      <c r="Z280" s="70">
        <v>0.4032</v>
      </c>
      <c r="AA280" s="70">
        <v>7.5263999999999887E-4</v>
      </c>
      <c r="AB280" s="71">
        <v>0.33600000000000002</v>
      </c>
      <c r="AC280" s="71">
        <v>0.26880000000000004</v>
      </c>
      <c r="AD280" s="71">
        <v>0.4032</v>
      </c>
      <c r="AE280" s="71">
        <v>7.5263999999999887E-4</v>
      </c>
      <c r="AF280" s="70">
        <v>0.33600000000000002</v>
      </c>
      <c r="AG280" s="70">
        <v>0.26880000000000004</v>
      </c>
      <c r="AH280" s="70">
        <v>0.4032</v>
      </c>
      <c r="AI280" s="70">
        <v>7.5263999999999887E-4</v>
      </c>
      <c r="AJ280" s="72" t="s">
        <v>478</v>
      </c>
    </row>
    <row r="281" spans="1:36" customFormat="1" x14ac:dyDescent="0.25">
      <c r="A281" s="68">
        <v>274</v>
      </c>
      <c r="B281" s="69" t="s">
        <v>238</v>
      </c>
      <c r="C281" s="69" t="s">
        <v>936</v>
      </c>
      <c r="D281" s="69" t="s">
        <v>754</v>
      </c>
      <c r="E281" s="69" t="s">
        <v>755</v>
      </c>
      <c r="F281" s="69" t="s">
        <v>744</v>
      </c>
      <c r="G281" s="69" t="s">
        <v>237</v>
      </c>
      <c r="H281" s="70">
        <v>0.48799999999999999</v>
      </c>
      <c r="I281" s="70">
        <v>0.39039999999999997</v>
      </c>
      <c r="J281" s="70">
        <v>0.58560000000000001</v>
      </c>
      <c r="K281" s="70">
        <v>1.5876266666666656E-3</v>
      </c>
      <c r="L281" s="71">
        <v>0.48799999999999999</v>
      </c>
      <c r="M281" s="71">
        <v>0.39039999999999997</v>
      </c>
      <c r="N281" s="71">
        <v>0.58560000000000001</v>
      </c>
      <c r="O281" s="71">
        <v>1.5876266666666656E-3</v>
      </c>
      <c r="P281" s="70">
        <v>0.48799999999999999</v>
      </c>
      <c r="Q281" s="70">
        <v>0.39039999999999997</v>
      </c>
      <c r="R281" s="70">
        <v>0.58560000000000001</v>
      </c>
      <c r="S281" s="70">
        <v>1.5876266666666656E-3</v>
      </c>
      <c r="T281" s="71">
        <v>0.48799999999999999</v>
      </c>
      <c r="U281" s="71">
        <v>0.39039999999999997</v>
      </c>
      <c r="V281" s="71">
        <v>0.58560000000000001</v>
      </c>
      <c r="W281" s="71">
        <v>1.5876266666666656E-3</v>
      </c>
      <c r="X281" s="70">
        <v>0.48799999999999999</v>
      </c>
      <c r="Y281" s="70">
        <v>0.39039999999999997</v>
      </c>
      <c r="Z281" s="70">
        <v>0.58560000000000001</v>
      </c>
      <c r="AA281" s="70">
        <v>1.5876266666666656E-3</v>
      </c>
      <c r="AB281" s="71">
        <v>0.48799999999999999</v>
      </c>
      <c r="AC281" s="71">
        <v>0.39039999999999997</v>
      </c>
      <c r="AD281" s="71">
        <v>0.58560000000000001</v>
      </c>
      <c r="AE281" s="71">
        <v>1.5876266666666656E-3</v>
      </c>
      <c r="AF281" s="70">
        <v>0.48799999999999999</v>
      </c>
      <c r="AG281" s="70">
        <v>0.39039999999999997</v>
      </c>
      <c r="AH281" s="70">
        <v>0.58560000000000001</v>
      </c>
      <c r="AI281" s="70">
        <v>1.5876266666666656E-3</v>
      </c>
      <c r="AJ281" s="72" t="s">
        <v>478</v>
      </c>
    </row>
    <row r="282" spans="1:36" customFormat="1" x14ac:dyDescent="0.25">
      <c r="A282" s="68">
        <v>275</v>
      </c>
      <c r="B282" s="69" t="s">
        <v>238</v>
      </c>
      <c r="C282" s="69" t="s">
        <v>936</v>
      </c>
      <c r="D282" s="69" t="s">
        <v>756</v>
      </c>
      <c r="E282" s="69" t="s">
        <v>757</v>
      </c>
      <c r="F282" s="69" t="s">
        <v>744</v>
      </c>
      <c r="G282" s="69" t="s">
        <v>237</v>
      </c>
      <c r="H282" s="70">
        <v>2.0538461538461541</v>
      </c>
      <c r="I282" s="70">
        <v>1.6430769230769233</v>
      </c>
      <c r="J282" s="70">
        <v>2.4646153846153851</v>
      </c>
      <c r="K282" s="70">
        <v>2.8121893491124407E-2</v>
      </c>
      <c r="L282" s="71">
        <v>2.0538461538461541</v>
      </c>
      <c r="M282" s="71">
        <v>1.6430769230769233</v>
      </c>
      <c r="N282" s="71">
        <v>2.4646153846153851</v>
      </c>
      <c r="O282" s="71">
        <v>2.8121893491124407E-2</v>
      </c>
      <c r="P282" s="70">
        <v>2.0538461538461541</v>
      </c>
      <c r="Q282" s="70">
        <v>1.6430769230769233</v>
      </c>
      <c r="R282" s="70">
        <v>2.4646153846153851</v>
      </c>
      <c r="S282" s="70">
        <v>2.8121893491124407E-2</v>
      </c>
      <c r="T282" s="71">
        <v>2.0538461538461541</v>
      </c>
      <c r="U282" s="71">
        <v>1.6430769230769233</v>
      </c>
      <c r="V282" s="71">
        <v>2.4646153846153851</v>
      </c>
      <c r="W282" s="71">
        <v>2.8121893491124407E-2</v>
      </c>
      <c r="X282" s="70">
        <v>2.0538461538461541</v>
      </c>
      <c r="Y282" s="70">
        <v>1.6430769230769233</v>
      </c>
      <c r="Z282" s="70">
        <v>2.4646153846153851</v>
      </c>
      <c r="AA282" s="70">
        <v>2.8121893491124407E-2</v>
      </c>
      <c r="AB282" s="71">
        <v>2.0538461538461541</v>
      </c>
      <c r="AC282" s="71">
        <v>1.6430769230769233</v>
      </c>
      <c r="AD282" s="71">
        <v>2.4646153846153851</v>
      </c>
      <c r="AE282" s="71">
        <v>2.8121893491124407E-2</v>
      </c>
      <c r="AF282" s="70">
        <v>2.0538461538461541</v>
      </c>
      <c r="AG282" s="70">
        <v>1.6430769230769233</v>
      </c>
      <c r="AH282" s="70">
        <v>2.4646153846153851</v>
      </c>
      <c r="AI282" s="70">
        <v>2.8121893491124407E-2</v>
      </c>
      <c r="AJ282" s="72" t="s">
        <v>478</v>
      </c>
    </row>
    <row r="283" spans="1:36" customFormat="1" x14ac:dyDescent="0.25">
      <c r="A283" s="68">
        <v>276</v>
      </c>
      <c r="B283" s="69" t="s">
        <v>238</v>
      </c>
      <c r="C283" s="69" t="s">
        <v>936</v>
      </c>
      <c r="D283" s="69" t="s">
        <v>758</v>
      </c>
      <c r="E283" s="69" t="s">
        <v>848</v>
      </c>
      <c r="F283" s="69" t="s">
        <v>759</v>
      </c>
      <c r="G283" s="69" t="s">
        <v>237</v>
      </c>
      <c r="H283" s="70">
        <v>1.0555555555555556E-2</v>
      </c>
      <c r="I283" s="70">
        <v>8.4444444444444454E-3</v>
      </c>
      <c r="J283" s="70">
        <v>1.2666666666666666E-2</v>
      </c>
      <c r="K283" s="70">
        <v>7.4279835390946368E-7</v>
      </c>
      <c r="L283" s="71">
        <v>1.0555555555555556E-2</v>
      </c>
      <c r="M283" s="71">
        <v>8.4444444444444454E-3</v>
      </c>
      <c r="N283" s="71">
        <v>1.2666666666666666E-2</v>
      </c>
      <c r="O283" s="71">
        <v>7.4279835390946368E-7</v>
      </c>
      <c r="P283" s="70">
        <v>1.0555555555555556E-2</v>
      </c>
      <c r="Q283" s="70">
        <v>8.4444444444444454E-3</v>
      </c>
      <c r="R283" s="70">
        <v>1.2666666666666666E-2</v>
      </c>
      <c r="S283" s="70">
        <v>7.4279835390946368E-7</v>
      </c>
      <c r="T283" s="71">
        <v>1.0555555555555556E-2</v>
      </c>
      <c r="U283" s="71">
        <v>8.4444444444444454E-3</v>
      </c>
      <c r="V283" s="71">
        <v>1.2666666666666666E-2</v>
      </c>
      <c r="W283" s="71">
        <v>7.4279835390946368E-7</v>
      </c>
      <c r="X283" s="70">
        <v>1.0555555555555556E-2</v>
      </c>
      <c r="Y283" s="70">
        <v>8.4444444444444454E-3</v>
      </c>
      <c r="Z283" s="70">
        <v>1.2666666666666666E-2</v>
      </c>
      <c r="AA283" s="70">
        <v>7.4279835390946368E-7</v>
      </c>
      <c r="AB283" s="73">
        <v>1.0555555555555556E-2</v>
      </c>
      <c r="AC283" s="73">
        <v>8.4444444444444454E-3</v>
      </c>
      <c r="AD283" s="73">
        <v>1.2666666666666666E-2</v>
      </c>
      <c r="AE283" s="73">
        <v>7.4279835390946368E-7</v>
      </c>
      <c r="AF283" s="70">
        <v>1.0555555555555556E-2</v>
      </c>
      <c r="AG283" s="70">
        <v>8.4444444444444454E-3</v>
      </c>
      <c r="AH283" s="70">
        <v>1.2666666666666666E-2</v>
      </c>
      <c r="AI283" s="70">
        <v>7.4279835390946368E-7</v>
      </c>
      <c r="AJ283" s="72" t="s">
        <v>478</v>
      </c>
    </row>
    <row r="284" spans="1:36" customFormat="1" x14ac:dyDescent="0.25">
      <c r="A284" s="68">
        <v>277</v>
      </c>
      <c r="B284" s="69" t="s">
        <v>238</v>
      </c>
      <c r="C284" s="69" t="s">
        <v>936</v>
      </c>
      <c r="D284" s="69" t="s">
        <v>760</v>
      </c>
      <c r="E284" s="69" t="s">
        <v>849</v>
      </c>
      <c r="F284" s="69" t="s">
        <v>761</v>
      </c>
      <c r="G284" s="69" t="s">
        <v>237</v>
      </c>
      <c r="H284" s="70">
        <v>8.5999999999999993E-2</v>
      </c>
      <c r="I284" s="70">
        <v>6.88E-2</v>
      </c>
      <c r="J284" s="70">
        <v>0.10319999999999999</v>
      </c>
      <c r="K284" s="70">
        <v>4.9306666666666524E-5</v>
      </c>
      <c r="L284" s="71">
        <v>8.5999999999999993E-2</v>
      </c>
      <c r="M284" s="71">
        <v>6.88E-2</v>
      </c>
      <c r="N284" s="71">
        <v>0.10319999999999999</v>
      </c>
      <c r="O284" s="71">
        <v>4.9306666666666524E-5</v>
      </c>
      <c r="P284" s="70">
        <v>8.5999999999999993E-2</v>
      </c>
      <c r="Q284" s="70">
        <v>6.88E-2</v>
      </c>
      <c r="R284" s="70">
        <v>0.10319999999999999</v>
      </c>
      <c r="S284" s="70">
        <v>4.9306666666666524E-5</v>
      </c>
      <c r="T284" s="71">
        <v>8.5999999999999993E-2</v>
      </c>
      <c r="U284" s="71">
        <v>6.88E-2</v>
      </c>
      <c r="V284" s="71">
        <v>0.10319999999999999</v>
      </c>
      <c r="W284" s="71">
        <v>4.9306666666666524E-5</v>
      </c>
      <c r="X284" s="70">
        <v>8.5999999999999993E-2</v>
      </c>
      <c r="Y284" s="70">
        <v>6.88E-2</v>
      </c>
      <c r="Z284" s="70">
        <v>0.10319999999999999</v>
      </c>
      <c r="AA284" s="70">
        <v>4.9306666666666524E-5</v>
      </c>
      <c r="AB284" s="73">
        <v>8.5999999999999993E-2</v>
      </c>
      <c r="AC284" s="73">
        <v>6.88E-2</v>
      </c>
      <c r="AD284" s="73">
        <v>0.10319999999999999</v>
      </c>
      <c r="AE284" s="73">
        <v>4.9306666666666524E-5</v>
      </c>
      <c r="AF284" s="70">
        <v>8.5999999999999993E-2</v>
      </c>
      <c r="AG284" s="70">
        <v>6.88E-2</v>
      </c>
      <c r="AH284" s="70">
        <v>0.10319999999999999</v>
      </c>
      <c r="AI284" s="70">
        <v>4.9306666666666524E-5</v>
      </c>
      <c r="AJ284" s="72" t="s">
        <v>478</v>
      </c>
    </row>
    <row r="285" spans="1:36" customFormat="1" x14ac:dyDescent="0.25">
      <c r="A285" s="68">
        <v>278</v>
      </c>
      <c r="B285" s="69" t="s">
        <v>238</v>
      </c>
      <c r="C285" s="69" t="s">
        <v>936</v>
      </c>
      <c r="D285" s="69" t="s">
        <v>762</v>
      </c>
      <c r="E285" s="69" t="s">
        <v>763</v>
      </c>
      <c r="F285" s="69" t="s">
        <v>761</v>
      </c>
      <c r="G285" s="69" t="s">
        <v>237</v>
      </c>
      <c r="H285" s="70">
        <v>6.9839999999999999E-2</v>
      </c>
      <c r="I285" s="70">
        <v>5.5871999999999998E-2</v>
      </c>
      <c r="J285" s="70">
        <v>8.3807999999999994E-2</v>
      </c>
      <c r="K285" s="70">
        <v>3.2517503999999904E-5</v>
      </c>
      <c r="L285" s="71">
        <v>6.9839999999999999E-2</v>
      </c>
      <c r="M285" s="71">
        <v>5.5871999999999998E-2</v>
      </c>
      <c r="N285" s="71">
        <v>8.3807999999999994E-2</v>
      </c>
      <c r="O285" s="71">
        <v>3.2517503999999904E-5</v>
      </c>
      <c r="P285" s="70">
        <v>6.9839999999999999E-2</v>
      </c>
      <c r="Q285" s="70">
        <v>5.5871999999999998E-2</v>
      </c>
      <c r="R285" s="70">
        <v>8.3807999999999994E-2</v>
      </c>
      <c r="S285" s="70">
        <v>3.2517503999999904E-5</v>
      </c>
      <c r="T285" s="71">
        <v>6.9839999999999999E-2</v>
      </c>
      <c r="U285" s="71">
        <v>5.5871999999999998E-2</v>
      </c>
      <c r="V285" s="71">
        <v>8.3807999999999994E-2</v>
      </c>
      <c r="W285" s="71">
        <v>3.2517503999999904E-5</v>
      </c>
      <c r="X285" s="70">
        <v>6.9839999999999999E-2</v>
      </c>
      <c r="Y285" s="70">
        <v>5.5871999999999998E-2</v>
      </c>
      <c r="Z285" s="70">
        <v>8.3807999999999994E-2</v>
      </c>
      <c r="AA285" s="70">
        <v>3.2517503999999904E-5</v>
      </c>
      <c r="AB285" s="73">
        <v>6.9839999999999999E-2</v>
      </c>
      <c r="AC285" s="73">
        <v>5.5871999999999998E-2</v>
      </c>
      <c r="AD285" s="73">
        <v>8.3807999999999994E-2</v>
      </c>
      <c r="AE285" s="73">
        <v>3.2517503999999904E-5</v>
      </c>
      <c r="AF285" s="70">
        <v>6.9839999999999999E-2</v>
      </c>
      <c r="AG285" s="70">
        <v>5.5871999999999998E-2</v>
      </c>
      <c r="AH285" s="70">
        <v>8.3807999999999994E-2</v>
      </c>
      <c r="AI285" s="70">
        <v>3.2517503999999904E-5</v>
      </c>
      <c r="AJ285" s="72" t="s">
        <v>478</v>
      </c>
    </row>
    <row r="286" spans="1:36" customFormat="1" x14ac:dyDescent="0.25">
      <c r="A286" s="68">
        <v>279</v>
      </c>
      <c r="B286" s="69" t="s">
        <v>238</v>
      </c>
      <c r="C286" s="69" t="s">
        <v>936</v>
      </c>
      <c r="D286" s="69" t="s">
        <v>764</v>
      </c>
      <c r="E286" s="69" t="s">
        <v>765</v>
      </c>
      <c r="F286" s="69" t="s">
        <v>766</v>
      </c>
      <c r="G286" s="69" t="s">
        <v>237</v>
      </c>
      <c r="H286" s="70">
        <v>2.1999999999999999E-2</v>
      </c>
      <c r="I286" s="70">
        <v>1.7599999999999998E-2</v>
      </c>
      <c r="J286" s="70">
        <v>2.64E-2</v>
      </c>
      <c r="K286" s="70">
        <v>3.226666666666664E-6</v>
      </c>
      <c r="L286" s="71">
        <v>2.1999999999999999E-2</v>
      </c>
      <c r="M286" s="71">
        <v>1.7599999999999998E-2</v>
      </c>
      <c r="N286" s="71">
        <v>2.64E-2</v>
      </c>
      <c r="O286" s="71">
        <v>3.226666666666664E-6</v>
      </c>
      <c r="P286" s="70">
        <v>2.1999999999999999E-2</v>
      </c>
      <c r="Q286" s="70">
        <v>1.7599999999999998E-2</v>
      </c>
      <c r="R286" s="70">
        <v>2.64E-2</v>
      </c>
      <c r="S286" s="70">
        <v>3.226666666666664E-6</v>
      </c>
      <c r="T286" s="71">
        <v>2.1999999999999999E-2</v>
      </c>
      <c r="U286" s="71">
        <v>1.7599999999999998E-2</v>
      </c>
      <c r="V286" s="71">
        <v>2.64E-2</v>
      </c>
      <c r="W286" s="71">
        <v>3.226666666666664E-6</v>
      </c>
      <c r="X286" s="70">
        <v>2.1999999999999999E-2</v>
      </c>
      <c r="Y286" s="70">
        <v>1.7599999999999998E-2</v>
      </c>
      <c r="Z286" s="70">
        <v>2.64E-2</v>
      </c>
      <c r="AA286" s="70">
        <v>3.226666666666664E-6</v>
      </c>
      <c r="AB286" s="73">
        <v>2.1999999999999999E-2</v>
      </c>
      <c r="AC286" s="73">
        <v>1.7599999999999998E-2</v>
      </c>
      <c r="AD286" s="73">
        <v>2.64E-2</v>
      </c>
      <c r="AE286" s="73">
        <v>3.226666666666664E-6</v>
      </c>
      <c r="AF286" s="70">
        <v>2.1999999999999999E-2</v>
      </c>
      <c r="AG286" s="70">
        <v>1.7599999999999998E-2</v>
      </c>
      <c r="AH286" s="70">
        <v>2.64E-2</v>
      </c>
      <c r="AI286" s="70">
        <v>3.226666666666664E-6</v>
      </c>
      <c r="AJ286" s="72" t="s">
        <v>478</v>
      </c>
    </row>
    <row r="287" spans="1:36" customFormat="1" x14ac:dyDescent="0.25">
      <c r="A287" s="68">
        <v>280</v>
      </c>
      <c r="B287" s="69" t="s">
        <v>238</v>
      </c>
      <c r="C287" s="69" t="s">
        <v>936</v>
      </c>
      <c r="D287" s="69" t="s">
        <v>767</v>
      </c>
      <c r="E287" s="69" t="s">
        <v>835</v>
      </c>
      <c r="F287" s="69" t="s">
        <v>744</v>
      </c>
      <c r="G287" s="69" t="s">
        <v>237</v>
      </c>
      <c r="H287" s="70">
        <v>0</v>
      </c>
      <c r="I287" s="70">
        <v>0</v>
      </c>
      <c r="J287" s="70">
        <v>0</v>
      </c>
      <c r="K287" s="70">
        <v>0</v>
      </c>
      <c r="L287" s="71">
        <v>0</v>
      </c>
      <c r="M287" s="71">
        <v>0</v>
      </c>
      <c r="N287" s="71">
        <v>0</v>
      </c>
      <c r="O287" s="71">
        <v>0</v>
      </c>
      <c r="P287" s="70">
        <v>0</v>
      </c>
      <c r="Q287" s="70">
        <v>0</v>
      </c>
      <c r="R287" s="70">
        <v>0</v>
      </c>
      <c r="S287" s="70">
        <v>0</v>
      </c>
      <c r="T287" s="71">
        <v>0</v>
      </c>
      <c r="U287" s="71">
        <v>0</v>
      </c>
      <c r="V287" s="71">
        <v>0</v>
      </c>
      <c r="W287" s="71">
        <v>0</v>
      </c>
      <c r="X287" s="70">
        <v>0</v>
      </c>
      <c r="Y287" s="70">
        <v>0</v>
      </c>
      <c r="Z287" s="70">
        <v>0</v>
      </c>
      <c r="AA287" s="70">
        <v>0</v>
      </c>
      <c r="AB287" s="73">
        <v>0</v>
      </c>
      <c r="AC287" s="73">
        <v>0</v>
      </c>
      <c r="AD287" s="73">
        <v>0</v>
      </c>
      <c r="AE287" s="73">
        <v>0</v>
      </c>
      <c r="AF287" s="70">
        <v>0</v>
      </c>
      <c r="AG287" s="70">
        <v>0</v>
      </c>
      <c r="AH287" s="70">
        <v>0</v>
      </c>
      <c r="AI287" s="70">
        <v>0</v>
      </c>
      <c r="AJ287" s="72" t="s">
        <v>478</v>
      </c>
    </row>
    <row r="288" spans="1:36" customFormat="1" x14ac:dyDescent="0.25">
      <c r="A288" s="68">
        <v>281</v>
      </c>
      <c r="B288" s="69" t="s">
        <v>238</v>
      </c>
      <c r="C288" s="69" t="s">
        <v>574</v>
      </c>
      <c r="D288" s="69" t="s">
        <v>770</v>
      </c>
      <c r="E288" s="69" t="s">
        <v>884</v>
      </c>
      <c r="F288" s="69" t="s">
        <v>739</v>
      </c>
      <c r="G288" s="69" t="s">
        <v>237</v>
      </c>
      <c r="H288" s="70">
        <v>11580972.098841608</v>
      </c>
      <c r="I288" s="70">
        <v>9264777.6790732853</v>
      </c>
      <c r="J288" s="70">
        <v>13897166.51860993</v>
      </c>
      <c r="K288" s="70">
        <v>894126098360.9895</v>
      </c>
      <c r="L288" s="71">
        <v>0</v>
      </c>
      <c r="M288" s="71">
        <v>0</v>
      </c>
      <c r="N288" s="71">
        <v>0</v>
      </c>
      <c r="O288" s="71">
        <v>0</v>
      </c>
      <c r="P288" s="70">
        <v>11580972.098841608</v>
      </c>
      <c r="Q288" s="70">
        <v>9264777.6790732853</v>
      </c>
      <c r="R288" s="70">
        <v>13897166.51860993</v>
      </c>
      <c r="S288" s="70">
        <v>894126098360.9895</v>
      </c>
      <c r="T288" s="71">
        <v>11580972.098841608</v>
      </c>
      <c r="U288" s="71">
        <v>9264777.6790732853</v>
      </c>
      <c r="V288" s="71">
        <v>13897166.51860993</v>
      </c>
      <c r="W288" s="71">
        <v>894126098360.9895</v>
      </c>
      <c r="X288" s="70">
        <v>11580972.098841608</v>
      </c>
      <c r="Y288" s="70">
        <v>9264777.6790732853</v>
      </c>
      <c r="Z288" s="70">
        <v>13897166.51860993</v>
      </c>
      <c r="AA288" s="70">
        <v>894126098360.9895</v>
      </c>
      <c r="AB288" s="73">
        <v>0</v>
      </c>
      <c r="AC288" s="73">
        <v>0</v>
      </c>
      <c r="AD288" s="73">
        <v>0</v>
      </c>
      <c r="AE288" s="73">
        <v>0</v>
      </c>
      <c r="AF288" s="70">
        <v>0</v>
      </c>
      <c r="AG288" s="70">
        <v>0</v>
      </c>
      <c r="AH288" s="70">
        <v>0</v>
      </c>
      <c r="AI288" s="70">
        <v>0</v>
      </c>
      <c r="AJ288" s="72" t="s">
        <v>478</v>
      </c>
    </row>
    <row r="289" spans="1:37" customFormat="1" x14ac:dyDescent="0.25">
      <c r="A289" s="68">
        <v>282</v>
      </c>
      <c r="B289" s="69" t="s">
        <v>238</v>
      </c>
      <c r="C289" s="69" t="s">
        <v>574</v>
      </c>
      <c r="D289" s="69" t="s">
        <v>771</v>
      </c>
      <c r="E289" s="69" t="s">
        <v>850</v>
      </c>
      <c r="F289" s="69" t="s">
        <v>739</v>
      </c>
      <c r="G289" s="69" t="s">
        <v>237</v>
      </c>
      <c r="H289" s="70">
        <v>4964763.1531796725</v>
      </c>
      <c r="I289" s="70">
        <v>3971810.5225437381</v>
      </c>
      <c r="J289" s="70">
        <v>5957715.7838156074</v>
      </c>
      <c r="K289" s="70">
        <v>164325821114.47049</v>
      </c>
      <c r="L289" s="71">
        <v>0</v>
      </c>
      <c r="M289" s="71">
        <v>0</v>
      </c>
      <c r="N289" s="71">
        <v>0</v>
      </c>
      <c r="O289" s="71">
        <v>0</v>
      </c>
      <c r="P289" s="70">
        <v>4964763.1531796725</v>
      </c>
      <c r="Q289" s="70">
        <v>3971810.5225437381</v>
      </c>
      <c r="R289" s="70">
        <v>5957715.7838156074</v>
      </c>
      <c r="S289" s="70">
        <v>164325821114.47049</v>
      </c>
      <c r="T289" s="71">
        <v>4964763.1531796725</v>
      </c>
      <c r="U289" s="71">
        <v>3971810.5225437381</v>
      </c>
      <c r="V289" s="71">
        <v>5957715.7838156074</v>
      </c>
      <c r="W289" s="71">
        <v>164325821114.47049</v>
      </c>
      <c r="X289" s="70">
        <v>4964763.1531796725</v>
      </c>
      <c r="Y289" s="70">
        <v>3971810.5225437381</v>
      </c>
      <c r="Z289" s="70">
        <v>5957715.7838156074</v>
      </c>
      <c r="AA289" s="70">
        <v>164325821114.47049</v>
      </c>
      <c r="AB289" s="73">
        <v>0</v>
      </c>
      <c r="AC289" s="73">
        <v>0</v>
      </c>
      <c r="AD289" s="73">
        <v>0</v>
      </c>
      <c r="AE289" s="73">
        <v>0</v>
      </c>
      <c r="AF289" s="70">
        <v>0</v>
      </c>
      <c r="AG289" s="70">
        <v>0</v>
      </c>
      <c r="AH289" s="70">
        <v>0</v>
      </c>
      <c r="AI289" s="70">
        <v>0</v>
      </c>
      <c r="AJ289" s="72" t="s">
        <v>478</v>
      </c>
    </row>
    <row r="290" spans="1:37" customFormat="1" x14ac:dyDescent="0.25">
      <c r="A290" s="68">
        <v>283</v>
      </c>
      <c r="B290" s="69" t="s">
        <v>238</v>
      </c>
      <c r="C290" s="69" t="s">
        <v>574</v>
      </c>
      <c r="D290" s="69" t="s">
        <v>772</v>
      </c>
      <c r="E290" s="69" t="s">
        <v>851</v>
      </c>
      <c r="F290" s="69" t="s">
        <v>739</v>
      </c>
      <c r="G290" s="69" t="s">
        <v>237</v>
      </c>
      <c r="H290" s="70">
        <v>718014.45577758341</v>
      </c>
      <c r="I290" s="70">
        <v>574411.56462206668</v>
      </c>
      <c r="J290" s="70">
        <v>861617.34693310014</v>
      </c>
      <c r="K290" s="70">
        <v>3436965058.0372043</v>
      </c>
      <c r="L290" s="71">
        <v>0</v>
      </c>
      <c r="M290" s="71">
        <v>0</v>
      </c>
      <c r="N290" s="71">
        <v>0</v>
      </c>
      <c r="O290" s="71">
        <v>0</v>
      </c>
      <c r="P290" s="70">
        <v>718014.45577758341</v>
      </c>
      <c r="Q290" s="70">
        <v>574411.56462206668</v>
      </c>
      <c r="R290" s="70">
        <v>861617.34693310014</v>
      </c>
      <c r="S290" s="70">
        <v>3436965058.0372043</v>
      </c>
      <c r="T290" s="71">
        <v>718014.45577758341</v>
      </c>
      <c r="U290" s="71">
        <v>574411.56462206668</v>
      </c>
      <c r="V290" s="71">
        <v>861617.34693310014</v>
      </c>
      <c r="W290" s="71">
        <v>3436965058.0372043</v>
      </c>
      <c r="X290" s="70">
        <v>718014.45577758341</v>
      </c>
      <c r="Y290" s="70">
        <v>574411.56462206668</v>
      </c>
      <c r="Z290" s="70">
        <v>861617.34693310014</v>
      </c>
      <c r="AA290" s="70">
        <v>3436965058.0372043</v>
      </c>
      <c r="AB290" s="71">
        <v>0</v>
      </c>
      <c r="AC290" s="71">
        <v>0</v>
      </c>
      <c r="AD290" s="71">
        <v>0</v>
      </c>
      <c r="AE290" s="71">
        <v>0</v>
      </c>
      <c r="AF290" s="70">
        <v>0</v>
      </c>
      <c r="AG290" s="70">
        <v>0</v>
      </c>
      <c r="AH290" s="70">
        <v>0</v>
      </c>
      <c r="AI290" s="70">
        <v>0</v>
      </c>
      <c r="AJ290" s="72" t="s">
        <v>478</v>
      </c>
    </row>
    <row r="291" spans="1:37" customFormat="1" x14ac:dyDescent="0.25">
      <c r="A291" s="68">
        <v>284</v>
      </c>
      <c r="B291" s="69" t="s">
        <v>238</v>
      </c>
      <c r="C291" s="69" t="s">
        <v>574</v>
      </c>
      <c r="D291" s="69" t="s">
        <v>768</v>
      </c>
      <c r="E291" s="69" t="s">
        <v>937</v>
      </c>
      <c r="F291" s="69" t="s">
        <v>769</v>
      </c>
      <c r="G291" s="69" t="s">
        <v>237</v>
      </c>
      <c r="H291" s="70">
        <v>0.13500000000000001</v>
      </c>
      <c r="I291" s="70">
        <v>0.10800000000000001</v>
      </c>
      <c r="J291" s="70">
        <v>0.16200000000000001</v>
      </c>
      <c r="K291" s="70">
        <v>1.2150000000000008E-4</v>
      </c>
      <c r="L291" s="71">
        <v>0.13500000000000001</v>
      </c>
      <c r="M291" s="71">
        <v>0.10800000000000001</v>
      </c>
      <c r="N291" s="71">
        <v>0.16200000000000001</v>
      </c>
      <c r="O291" s="71">
        <v>1.2150000000000008E-4</v>
      </c>
      <c r="P291" s="70">
        <v>0.13500000000000001</v>
      </c>
      <c r="Q291" s="70">
        <v>0.10800000000000001</v>
      </c>
      <c r="R291" s="70">
        <v>0.16200000000000001</v>
      </c>
      <c r="S291" s="70">
        <v>1.2150000000000008E-4</v>
      </c>
      <c r="T291" s="71">
        <v>0.13500000000000001</v>
      </c>
      <c r="U291" s="71">
        <v>0.10800000000000001</v>
      </c>
      <c r="V291" s="71">
        <v>0.16200000000000001</v>
      </c>
      <c r="W291" s="71">
        <v>1.2150000000000008E-4</v>
      </c>
      <c r="X291" s="70">
        <v>0.13500000000000001</v>
      </c>
      <c r="Y291" s="70">
        <v>0.10800000000000001</v>
      </c>
      <c r="Z291" s="70">
        <v>0.16200000000000001</v>
      </c>
      <c r="AA291" s="70">
        <v>1.2150000000000008E-4</v>
      </c>
      <c r="AB291" s="71">
        <v>0.13500000000000001</v>
      </c>
      <c r="AC291" s="71">
        <v>0.10800000000000001</v>
      </c>
      <c r="AD291" s="71">
        <v>0.16200000000000001</v>
      </c>
      <c r="AE291" s="71">
        <v>1.2150000000000008E-4</v>
      </c>
      <c r="AF291" s="70">
        <v>0.13500000000000001</v>
      </c>
      <c r="AG291" s="70">
        <v>0.10800000000000001</v>
      </c>
      <c r="AH291" s="70">
        <v>0.16200000000000001</v>
      </c>
      <c r="AI291" s="70">
        <v>1.2150000000000008E-4</v>
      </c>
      <c r="AJ291" s="72" t="s">
        <v>478</v>
      </c>
      <c r="AK291" s="4"/>
    </row>
    <row r="292" spans="1:37" customFormat="1" x14ac:dyDescent="0.25">
      <c r="A292" s="68">
        <v>285</v>
      </c>
      <c r="B292" s="69" t="s">
        <v>238</v>
      </c>
      <c r="C292" s="69" t="s">
        <v>242</v>
      </c>
      <c r="D292" s="69" t="s">
        <v>773</v>
      </c>
      <c r="E292" s="69" t="s">
        <v>885</v>
      </c>
      <c r="F292" s="69" t="s">
        <v>739</v>
      </c>
      <c r="G292" s="69" t="s">
        <v>237</v>
      </c>
      <c r="H292" s="70">
        <v>164497.30374091718</v>
      </c>
      <c r="I292" s="70">
        <v>131597.84299273376</v>
      </c>
      <c r="J292" s="70">
        <v>197396.76448910061</v>
      </c>
      <c r="K292" s="70">
        <v>180395752.92021051</v>
      </c>
      <c r="L292" s="71">
        <v>0</v>
      </c>
      <c r="M292" s="71">
        <v>0</v>
      </c>
      <c r="N292" s="71">
        <v>0</v>
      </c>
      <c r="O292" s="71">
        <v>0</v>
      </c>
      <c r="P292" s="70">
        <v>164497.30374091718</v>
      </c>
      <c r="Q292" s="70">
        <v>131597.84299273376</v>
      </c>
      <c r="R292" s="70">
        <v>197396.76448910061</v>
      </c>
      <c r="S292" s="70">
        <v>180395752.92021051</v>
      </c>
      <c r="T292" s="71">
        <v>164497.30374091718</v>
      </c>
      <c r="U292" s="71">
        <v>131597.84299273376</v>
      </c>
      <c r="V292" s="71">
        <v>197396.76448910061</v>
      </c>
      <c r="W292" s="71">
        <v>180395752.92021051</v>
      </c>
      <c r="X292" s="70">
        <v>0</v>
      </c>
      <c r="Y292" s="70">
        <v>131597.84299273376</v>
      </c>
      <c r="Z292" s="70">
        <v>197396.76448910061</v>
      </c>
      <c r="AA292" s="70">
        <v>1683693693.9219637</v>
      </c>
      <c r="AB292" s="71">
        <v>164497.30374091718</v>
      </c>
      <c r="AC292" s="71">
        <v>131597.84299273376</v>
      </c>
      <c r="AD292" s="71">
        <v>197396.76448910061</v>
      </c>
      <c r="AE292" s="71">
        <v>180395752.92021051</v>
      </c>
      <c r="AF292" s="70">
        <v>0</v>
      </c>
      <c r="AG292" s="70">
        <v>0</v>
      </c>
      <c r="AH292" s="70">
        <v>0</v>
      </c>
      <c r="AI292" s="70">
        <v>0</v>
      </c>
      <c r="AJ292" s="72" t="s">
        <v>478</v>
      </c>
    </row>
    <row r="293" spans="1:37" customFormat="1" x14ac:dyDescent="0.25">
      <c r="A293" s="68">
        <v>286</v>
      </c>
      <c r="B293" s="69" t="s">
        <v>238</v>
      </c>
      <c r="C293" s="69" t="s">
        <v>242</v>
      </c>
      <c r="D293" s="69" t="s">
        <v>774</v>
      </c>
      <c r="E293" s="69" t="s">
        <v>852</v>
      </c>
      <c r="F293" s="69" t="s">
        <v>739</v>
      </c>
      <c r="G293" s="69" t="s">
        <v>237</v>
      </c>
      <c r="H293" s="70">
        <v>61499.999999999985</v>
      </c>
      <c r="I293" s="70">
        <v>49199.999999999985</v>
      </c>
      <c r="J293" s="70">
        <v>73799.999999999985</v>
      </c>
      <c r="K293" s="70">
        <v>25215000</v>
      </c>
      <c r="L293" s="71">
        <v>0</v>
      </c>
      <c r="M293" s="71">
        <v>0</v>
      </c>
      <c r="N293" s="71">
        <v>0</v>
      </c>
      <c r="O293" s="71">
        <v>0</v>
      </c>
      <c r="P293" s="70">
        <v>61499.999999999985</v>
      </c>
      <c r="Q293" s="70">
        <v>49199.999999999985</v>
      </c>
      <c r="R293" s="70">
        <v>73799.999999999985</v>
      </c>
      <c r="S293" s="70">
        <v>25215000</v>
      </c>
      <c r="T293" s="71">
        <v>61499.999999999985</v>
      </c>
      <c r="U293" s="71">
        <v>49199.999999999985</v>
      </c>
      <c r="V293" s="71">
        <v>73799.999999999985</v>
      </c>
      <c r="W293" s="71">
        <v>25215000</v>
      </c>
      <c r="X293" s="70">
        <v>0</v>
      </c>
      <c r="Y293" s="70">
        <v>49199.999999999985</v>
      </c>
      <c r="Z293" s="70">
        <v>73799.999999999985</v>
      </c>
      <c r="AA293" s="70">
        <v>235339999.99999988</v>
      </c>
      <c r="AB293" s="71">
        <v>219150.61749757029</v>
      </c>
      <c r="AC293" s="71">
        <v>175320.49399805622</v>
      </c>
      <c r="AD293" s="71">
        <v>262980.74099708436</v>
      </c>
      <c r="AE293" s="71">
        <v>320179954.33044094</v>
      </c>
      <c r="AF293" s="70">
        <v>0</v>
      </c>
      <c r="AG293" s="70">
        <v>0</v>
      </c>
      <c r="AH293" s="70">
        <v>0</v>
      </c>
      <c r="AI293" s="70">
        <v>0</v>
      </c>
      <c r="AJ293" s="72" t="s">
        <v>478</v>
      </c>
    </row>
    <row r="294" spans="1:37" customFormat="1" x14ac:dyDescent="0.25">
      <c r="A294" s="68">
        <v>287</v>
      </c>
      <c r="B294" s="69" t="s">
        <v>238</v>
      </c>
      <c r="C294" s="69" t="s">
        <v>242</v>
      </c>
      <c r="D294" s="69" t="s">
        <v>775</v>
      </c>
      <c r="E294" s="69" t="s">
        <v>853</v>
      </c>
      <c r="F294" s="69" t="s">
        <v>739</v>
      </c>
      <c r="G294" s="69" t="s">
        <v>237</v>
      </c>
      <c r="H294" s="70">
        <v>30749.999999999993</v>
      </c>
      <c r="I294" s="70">
        <v>24599.999999999993</v>
      </c>
      <c r="J294" s="70">
        <v>36899.999999999993</v>
      </c>
      <c r="K294" s="70">
        <v>6303750</v>
      </c>
      <c r="L294" s="71">
        <v>0</v>
      </c>
      <c r="M294" s="71">
        <v>0</v>
      </c>
      <c r="N294" s="71">
        <v>0</v>
      </c>
      <c r="O294" s="71">
        <v>0</v>
      </c>
      <c r="P294" s="70">
        <v>30749.999999999993</v>
      </c>
      <c r="Q294" s="70">
        <v>24599.999999999993</v>
      </c>
      <c r="R294" s="70">
        <v>36899.999999999993</v>
      </c>
      <c r="S294" s="70">
        <v>6303750</v>
      </c>
      <c r="T294" s="71">
        <v>30749.999999999993</v>
      </c>
      <c r="U294" s="71">
        <v>24599.999999999993</v>
      </c>
      <c r="V294" s="71">
        <v>36899.999999999993</v>
      </c>
      <c r="W294" s="71">
        <v>6303750</v>
      </c>
      <c r="X294" s="70">
        <v>0</v>
      </c>
      <c r="Y294" s="70">
        <v>24599.999999999993</v>
      </c>
      <c r="Z294" s="70">
        <v>36899.999999999993</v>
      </c>
      <c r="AA294" s="70">
        <v>58834999.99999997</v>
      </c>
      <c r="AB294" s="71">
        <v>235636.69248348055</v>
      </c>
      <c r="AC294" s="71">
        <v>188509.35398678444</v>
      </c>
      <c r="AD294" s="71">
        <v>282764.03098017664</v>
      </c>
      <c r="AE294" s="71">
        <v>370164338.96369553</v>
      </c>
      <c r="AF294" s="70">
        <v>0</v>
      </c>
      <c r="AG294" s="70">
        <v>0</v>
      </c>
      <c r="AH294" s="70">
        <v>0</v>
      </c>
      <c r="AI294" s="70">
        <v>0</v>
      </c>
      <c r="AJ294" s="72" t="s">
        <v>478</v>
      </c>
    </row>
    <row r="295" spans="1:37" customFormat="1" x14ac:dyDescent="0.25">
      <c r="A295" s="68">
        <v>288</v>
      </c>
      <c r="B295" s="69" t="s">
        <v>238</v>
      </c>
      <c r="C295" s="69" t="s">
        <v>776</v>
      </c>
      <c r="D295" s="69" t="s">
        <v>777</v>
      </c>
      <c r="E295" s="69" t="s">
        <v>886</v>
      </c>
      <c r="F295" s="69" t="s">
        <v>739</v>
      </c>
      <c r="G295" s="69" t="s">
        <v>237</v>
      </c>
      <c r="H295" s="70">
        <v>1947530.2444418084</v>
      </c>
      <c r="I295" s="70">
        <v>1558024.1955534467</v>
      </c>
      <c r="J295" s="70">
        <v>2337036.2933301702</v>
      </c>
      <c r="K295" s="70">
        <v>25285827020.10384</v>
      </c>
      <c r="L295" s="71">
        <v>1947530.2444418084</v>
      </c>
      <c r="M295" s="71">
        <v>1558024.1955534467</v>
      </c>
      <c r="N295" s="71">
        <v>2337036.2933301702</v>
      </c>
      <c r="O295" s="71">
        <v>25285827020.10384</v>
      </c>
      <c r="P295" s="70">
        <v>1947530.2444418084</v>
      </c>
      <c r="Q295" s="70">
        <v>1558024.1955534467</v>
      </c>
      <c r="R295" s="70">
        <v>2337036.2933301702</v>
      </c>
      <c r="S295" s="70">
        <v>25285827020.10384</v>
      </c>
      <c r="T295" s="71">
        <v>1947530.2444418084</v>
      </c>
      <c r="U295" s="71">
        <v>1558024.1955534467</v>
      </c>
      <c r="V295" s="71">
        <v>2337036.2933301702</v>
      </c>
      <c r="W295" s="71">
        <v>25285827020.10384</v>
      </c>
      <c r="X295" s="70">
        <v>1947530.2444418084</v>
      </c>
      <c r="Y295" s="70">
        <v>1558024.1955534467</v>
      </c>
      <c r="Z295" s="70">
        <v>2337036.2933301702</v>
      </c>
      <c r="AA295" s="70">
        <v>25285827020.10384</v>
      </c>
      <c r="AB295" s="71">
        <v>1947530.2444418084</v>
      </c>
      <c r="AC295" s="71">
        <v>1558024.1955534467</v>
      </c>
      <c r="AD295" s="71">
        <v>2337036.2933301702</v>
      </c>
      <c r="AE295" s="71">
        <v>25285827020.10384</v>
      </c>
      <c r="AF295" s="70">
        <v>1947530.2444418084</v>
      </c>
      <c r="AG295" s="70">
        <v>1558024.1955534467</v>
      </c>
      <c r="AH295" s="70">
        <v>2337036.2933301702</v>
      </c>
      <c r="AI295" s="70">
        <v>25285827020.10384</v>
      </c>
      <c r="AJ295" s="72" t="s">
        <v>478</v>
      </c>
    </row>
    <row r="296" spans="1:37" customFormat="1" x14ac:dyDescent="0.25">
      <c r="A296" s="68">
        <v>289</v>
      </c>
      <c r="B296" s="69" t="s">
        <v>238</v>
      </c>
      <c r="C296" s="69" t="s">
        <v>776</v>
      </c>
      <c r="D296" s="69" t="s">
        <v>778</v>
      </c>
      <c r="E296" s="69" t="s">
        <v>854</v>
      </c>
      <c r="F296" s="69" t="s">
        <v>739</v>
      </c>
      <c r="G296" s="69" t="s">
        <v>237</v>
      </c>
      <c r="H296" s="70">
        <v>132990</v>
      </c>
      <c r="I296" s="70">
        <v>106392</v>
      </c>
      <c r="J296" s="70">
        <v>159588</v>
      </c>
      <c r="K296" s="70">
        <v>117908934</v>
      </c>
      <c r="L296" s="71">
        <v>132990</v>
      </c>
      <c r="M296" s="71">
        <v>106392</v>
      </c>
      <c r="N296" s="71">
        <v>159588</v>
      </c>
      <c r="O296" s="71">
        <v>117908934</v>
      </c>
      <c r="P296" s="70">
        <v>132990</v>
      </c>
      <c r="Q296" s="70">
        <v>106392</v>
      </c>
      <c r="R296" s="70">
        <v>159588</v>
      </c>
      <c r="S296" s="70">
        <v>117908934</v>
      </c>
      <c r="T296" s="71">
        <v>132990</v>
      </c>
      <c r="U296" s="71">
        <v>106392</v>
      </c>
      <c r="V296" s="71">
        <v>159588</v>
      </c>
      <c r="W296" s="71">
        <v>117908934</v>
      </c>
      <c r="X296" s="70">
        <v>132990</v>
      </c>
      <c r="Y296" s="70">
        <v>106392</v>
      </c>
      <c r="Z296" s="70">
        <v>159588</v>
      </c>
      <c r="AA296" s="70">
        <v>117908934</v>
      </c>
      <c r="AB296" s="71">
        <v>132990</v>
      </c>
      <c r="AC296" s="71">
        <v>106392</v>
      </c>
      <c r="AD296" s="71">
        <v>159588</v>
      </c>
      <c r="AE296" s="71">
        <v>117908934</v>
      </c>
      <c r="AF296" s="70">
        <v>132990</v>
      </c>
      <c r="AG296" s="70">
        <v>106392</v>
      </c>
      <c r="AH296" s="70">
        <v>159588</v>
      </c>
      <c r="AI296" s="70">
        <v>117908934</v>
      </c>
      <c r="AJ296" s="72" t="s">
        <v>478</v>
      </c>
    </row>
    <row r="297" spans="1:37" customFormat="1" x14ac:dyDescent="0.25">
      <c r="A297" s="68">
        <v>290</v>
      </c>
      <c r="B297" s="69" t="s">
        <v>238</v>
      </c>
      <c r="C297" s="69" t="s">
        <v>776</v>
      </c>
      <c r="D297" s="69" t="s">
        <v>779</v>
      </c>
      <c r="E297" s="69" t="s">
        <v>855</v>
      </c>
      <c r="F297" s="69" t="s">
        <v>739</v>
      </c>
      <c r="G297" s="69" t="s">
        <v>237</v>
      </c>
      <c r="H297" s="70">
        <v>27456</v>
      </c>
      <c r="I297" s="70">
        <v>21964.799999999999</v>
      </c>
      <c r="J297" s="70">
        <v>32947.199999999997</v>
      </c>
      <c r="K297" s="70">
        <v>5025546.2400000161</v>
      </c>
      <c r="L297" s="71">
        <v>27456</v>
      </c>
      <c r="M297" s="71">
        <v>21964.799999999999</v>
      </c>
      <c r="N297" s="71">
        <v>32947.199999999997</v>
      </c>
      <c r="O297" s="71">
        <v>5025546.2400000161</v>
      </c>
      <c r="P297" s="70">
        <v>27456</v>
      </c>
      <c r="Q297" s="70">
        <v>21964.799999999999</v>
      </c>
      <c r="R297" s="70">
        <v>32947.199999999997</v>
      </c>
      <c r="S297" s="70">
        <v>5025546.2400000161</v>
      </c>
      <c r="T297" s="71">
        <v>27456</v>
      </c>
      <c r="U297" s="71">
        <v>21964.799999999999</v>
      </c>
      <c r="V297" s="71">
        <v>32947.199999999997</v>
      </c>
      <c r="W297" s="71">
        <v>5025546.2400000161</v>
      </c>
      <c r="X297" s="70">
        <v>27456</v>
      </c>
      <c r="Y297" s="70">
        <v>21964.799999999999</v>
      </c>
      <c r="Z297" s="70">
        <v>32947.199999999997</v>
      </c>
      <c r="AA297" s="70">
        <v>5025546.2400000161</v>
      </c>
      <c r="AB297" s="71">
        <v>27456</v>
      </c>
      <c r="AC297" s="71">
        <v>21964.799999999999</v>
      </c>
      <c r="AD297" s="71">
        <v>32947.199999999997</v>
      </c>
      <c r="AE297" s="71">
        <v>5025546.2400000161</v>
      </c>
      <c r="AF297" s="70">
        <v>27456</v>
      </c>
      <c r="AG297" s="70">
        <v>21964.799999999999</v>
      </c>
      <c r="AH297" s="70">
        <v>32947.199999999997</v>
      </c>
      <c r="AI297" s="70">
        <v>5025546.2400000161</v>
      </c>
      <c r="AJ297" s="72" t="s">
        <v>478</v>
      </c>
    </row>
    <row r="298" spans="1:37" customFormat="1" x14ac:dyDescent="0.25">
      <c r="A298" s="68">
        <v>291</v>
      </c>
      <c r="B298" s="69" t="s">
        <v>238</v>
      </c>
      <c r="C298" s="69" t="s">
        <v>776</v>
      </c>
      <c r="D298" s="69" t="s">
        <v>780</v>
      </c>
      <c r="E298" s="69" t="s">
        <v>856</v>
      </c>
      <c r="F298" s="69" t="s">
        <v>739</v>
      </c>
      <c r="G298" s="69" t="s">
        <v>237</v>
      </c>
      <c r="H298" s="70">
        <v>267149.59999999998</v>
      </c>
      <c r="I298" s="70">
        <v>213719.67999999999</v>
      </c>
      <c r="J298" s="70">
        <v>320579.51999999996</v>
      </c>
      <c r="K298" s="70">
        <v>475792725.20106673</v>
      </c>
      <c r="L298" s="71">
        <v>267149.59999999998</v>
      </c>
      <c r="M298" s="71">
        <v>213719.67999999999</v>
      </c>
      <c r="N298" s="71">
        <v>320579.51999999996</v>
      </c>
      <c r="O298" s="71">
        <v>475792725.20106673</v>
      </c>
      <c r="P298" s="70">
        <v>267149.59999999998</v>
      </c>
      <c r="Q298" s="70">
        <v>213719.67999999999</v>
      </c>
      <c r="R298" s="70">
        <v>320579.51999999996</v>
      </c>
      <c r="S298" s="70">
        <v>475792725.20106673</v>
      </c>
      <c r="T298" s="71">
        <v>267149.59999999998</v>
      </c>
      <c r="U298" s="71">
        <v>213719.67999999999</v>
      </c>
      <c r="V298" s="71">
        <v>320579.51999999996</v>
      </c>
      <c r="W298" s="71">
        <v>475792725.20106673</v>
      </c>
      <c r="X298" s="70">
        <v>267149.59999999998</v>
      </c>
      <c r="Y298" s="70">
        <v>213719.67999999999</v>
      </c>
      <c r="Z298" s="70">
        <v>320579.51999999996</v>
      </c>
      <c r="AA298" s="70">
        <v>475792725.20106673</v>
      </c>
      <c r="AB298" s="71">
        <v>267149.59999999998</v>
      </c>
      <c r="AC298" s="71">
        <v>213719.67999999999</v>
      </c>
      <c r="AD298" s="71">
        <v>320579.51999999996</v>
      </c>
      <c r="AE298" s="71">
        <v>475792725.20106673</v>
      </c>
      <c r="AF298" s="70">
        <v>267149.59999999998</v>
      </c>
      <c r="AG298" s="70">
        <v>213719.67999999999</v>
      </c>
      <c r="AH298" s="70">
        <v>320579.51999999996</v>
      </c>
      <c r="AI298" s="70">
        <v>475792725.20106673</v>
      </c>
      <c r="AJ298" s="72" t="s">
        <v>478</v>
      </c>
    </row>
    <row r="299" spans="1:37" customFormat="1" x14ac:dyDescent="0.25">
      <c r="A299" s="68">
        <v>292</v>
      </c>
      <c r="B299" s="69" t="s">
        <v>238</v>
      </c>
      <c r="C299" s="69" t="s">
        <v>776</v>
      </c>
      <c r="D299" s="69" t="s">
        <v>781</v>
      </c>
      <c r="E299" s="69" t="s">
        <v>857</v>
      </c>
      <c r="F299" s="69" t="s">
        <v>739</v>
      </c>
      <c r="G299" s="69" t="s">
        <v>237</v>
      </c>
      <c r="H299" s="70">
        <v>267149.59999999998</v>
      </c>
      <c r="I299" s="70">
        <v>213719.67999999999</v>
      </c>
      <c r="J299" s="70">
        <v>320579.51999999996</v>
      </c>
      <c r="K299" s="70">
        <v>475792725.20106673</v>
      </c>
      <c r="L299" s="71">
        <v>267149.59999999998</v>
      </c>
      <c r="M299" s="71">
        <v>213719.67999999999</v>
      </c>
      <c r="N299" s="71">
        <v>320579.51999999996</v>
      </c>
      <c r="O299" s="71">
        <v>475792725.20106673</v>
      </c>
      <c r="P299" s="70">
        <v>267149.59999999998</v>
      </c>
      <c r="Q299" s="70">
        <v>213719.67999999999</v>
      </c>
      <c r="R299" s="70">
        <v>320579.51999999996</v>
      </c>
      <c r="S299" s="70">
        <v>475792725.20106673</v>
      </c>
      <c r="T299" s="71">
        <v>267149.59999999998</v>
      </c>
      <c r="U299" s="71">
        <v>213719.67999999999</v>
      </c>
      <c r="V299" s="71">
        <v>320579.51999999996</v>
      </c>
      <c r="W299" s="71">
        <v>475792725.20106673</v>
      </c>
      <c r="X299" s="70">
        <v>267149.59999999998</v>
      </c>
      <c r="Y299" s="70">
        <v>213719.67999999999</v>
      </c>
      <c r="Z299" s="70">
        <v>320579.51999999996</v>
      </c>
      <c r="AA299" s="70">
        <v>475792725.20106673</v>
      </c>
      <c r="AB299" s="71">
        <v>267149.59999999998</v>
      </c>
      <c r="AC299" s="71">
        <v>213719.67999999999</v>
      </c>
      <c r="AD299" s="71">
        <v>320579.51999999996</v>
      </c>
      <c r="AE299" s="71">
        <v>475792725.20106673</v>
      </c>
      <c r="AF299" s="70">
        <v>267149.59999999998</v>
      </c>
      <c r="AG299" s="70">
        <v>213719.67999999999</v>
      </c>
      <c r="AH299" s="70">
        <v>320579.51999999996</v>
      </c>
      <c r="AI299" s="70">
        <v>475792725.20106673</v>
      </c>
      <c r="AJ299" s="72" t="s">
        <v>478</v>
      </c>
    </row>
    <row r="300" spans="1:37" customFormat="1" x14ac:dyDescent="0.25">
      <c r="A300" s="68">
        <v>293</v>
      </c>
      <c r="B300" s="69" t="s">
        <v>238</v>
      </c>
      <c r="C300" s="69" t="s">
        <v>776</v>
      </c>
      <c r="D300" s="69" t="s">
        <v>782</v>
      </c>
      <c r="E300" s="69" t="s">
        <v>858</v>
      </c>
      <c r="F300" s="69" t="s">
        <v>739</v>
      </c>
      <c r="G300" s="69" t="s">
        <v>237</v>
      </c>
      <c r="H300" s="70">
        <v>349889.75999999995</v>
      </c>
      <c r="I300" s="70">
        <v>279911.80799999996</v>
      </c>
      <c r="J300" s="70">
        <v>419867.71199999994</v>
      </c>
      <c r="K300" s="70">
        <v>816152294.35238302</v>
      </c>
      <c r="L300" s="71">
        <v>349889.75999999995</v>
      </c>
      <c r="M300" s="71">
        <v>279911.80799999996</v>
      </c>
      <c r="N300" s="71">
        <v>419867.71199999994</v>
      </c>
      <c r="O300" s="71">
        <v>816152294.35238302</v>
      </c>
      <c r="P300" s="70">
        <v>349889.75999999995</v>
      </c>
      <c r="Q300" s="70">
        <v>279911.80799999996</v>
      </c>
      <c r="R300" s="70">
        <v>419867.71199999994</v>
      </c>
      <c r="S300" s="70">
        <v>816152294.35238302</v>
      </c>
      <c r="T300" s="71">
        <v>349889.75999999995</v>
      </c>
      <c r="U300" s="71">
        <v>279911.80799999996</v>
      </c>
      <c r="V300" s="71">
        <v>419867.71199999994</v>
      </c>
      <c r="W300" s="71">
        <v>816152294.35238302</v>
      </c>
      <c r="X300" s="70">
        <v>349889.75999999995</v>
      </c>
      <c r="Y300" s="70">
        <v>279911.80799999996</v>
      </c>
      <c r="Z300" s="70">
        <v>419867.71199999994</v>
      </c>
      <c r="AA300" s="70">
        <v>816152294.35238302</v>
      </c>
      <c r="AB300" s="71">
        <v>349889.75999999995</v>
      </c>
      <c r="AC300" s="71">
        <v>279911.80799999996</v>
      </c>
      <c r="AD300" s="71">
        <v>419867.71199999994</v>
      </c>
      <c r="AE300" s="71">
        <v>816152294.35238302</v>
      </c>
      <c r="AF300" s="70">
        <v>349889.75999999995</v>
      </c>
      <c r="AG300" s="70">
        <v>279911.80799999996</v>
      </c>
      <c r="AH300" s="70">
        <v>419867.71199999994</v>
      </c>
      <c r="AI300" s="70">
        <v>816152294.35238302</v>
      </c>
      <c r="AJ300" s="72" t="s">
        <v>478</v>
      </c>
    </row>
    <row r="301" spans="1:37" customFormat="1" x14ac:dyDescent="0.25">
      <c r="A301" s="68">
        <v>294</v>
      </c>
      <c r="B301" s="69" t="s">
        <v>238</v>
      </c>
      <c r="C301" s="69" t="s">
        <v>776</v>
      </c>
      <c r="D301" s="69" t="s">
        <v>783</v>
      </c>
      <c r="E301" s="69" t="s">
        <v>859</v>
      </c>
      <c r="F301" s="69" t="s">
        <v>739</v>
      </c>
      <c r="G301" s="69" t="s">
        <v>237</v>
      </c>
      <c r="H301" s="70">
        <v>45933.954977326524</v>
      </c>
      <c r="I301" s="70">
        <v>36747.163981861217</v>
      </c>
      <c r="J301" s="70">
        <v>55120.745972791832</v>
      </c>
      <c r="K301" s="70">
        <v>14066188.132393731</v>
      </c>
      <c r="L301" s="71">
        <v>45933.954977326524</v>
      </c>
      <c r="M301" s="71">
        <v>36747.163981861217</v>
      </c>
      <c r="N301" s="71">
        <v>55120.745972791832</v>
      </c>
      <c r="O301" s="71">
        <v>14066188.132393731</v>
      </c>
      <c r="P301" s="70">
        <v>45933.954977326524</v>
      </c>
      <c r="Q301" s="70">
        <v>36747.163981861217</v>
      </c>
      <c r="R301" s="70">
        <v>55120.745972791832</v>
      </c>
      <c r="S301" s="70">
        <v>14066188.132393731</v>
      </c>
      <c r="T301" s="71">
        <v>45933.954977326524</v>
      </c>
      <c r="U301" s="71">
        <v>36747.163981861217</v>
      </c>
      <c r="V301" s="71">
        <v>55120.745972791832</v>
      </c>
      <c r="W301" s="71">
        <v>14066188.132393731</v>
      </c>
      <c r="X301" s="70">
        <v>45933.954977326524</v>
      </c>
      <c r="Y301" s="70">
        <v>36747.163981861217</v>
      </c>
      <c r="Z301" s="70">
        <v>55120.745972791832</v>
      </c>
      <c r="AA301" s="70">
        <v>14066188.132393731</v>
      </c>
      <c r="AB301" s="71">
        <v>45933.954977326524</v>
      </c>
      <c r="AC301" s="71">
        <v>36747.163981861217</v>
      </c>
      <c r="AD301" s="71">
        <v>55120.745972791832</v>
      </c>
      <c r="AE301" s="71">
        <v>14066188.132393731</v>
      </c>
      <c r="AF301" s="70">
        <v>45933.954977326524</v>
      </c>
      <c r="AG301" s="70">
        <v>36747.163981861217</v>
      </c>
      <c r="AH301" s="70">
        <v>55120.745972791832</v>
      </c>
      <c r="AI301" s="70">
        <v>14066188.132393731</v>
      </c>
      <c r="AJ301" s="72" t="s">
        <v>478</v>
      </c>
    </row>
    <row r="302" spans="1:37" customFormat="1" x14ac:dyDescent="0.25">
      <c r="A302" s="68">
        <v>295</v>
      </c>
      <c r="B302" s="69" t="s">
        <v>238</v>
      </c>
      <c r="C302" s="69" t="s">
        <v>776</v>
      </c>
      <c r="D302" s="69" t="s">
        <v>784</v>
      </c>
      <c r="E302" s="69" t="s">
        <v>860</v>
      </c>
      <c r="F302" s="69" t="s">
        <v>739</v>
      </c>
      <c r="G302" s="69" t="s">
        <v>237</v>
      </c>
      <c r="H302" s="70">
        <v>44946</v>
      </c>
      <c r="I302" s="70">
        <v>35956.800000000003</v>
      </c>
      <c r="J302" s="70">
        <v>53935.199999999997</v>
      </c>
      <c r="K302" s="70">
        <v>13467619.439999977</v>
      </c>
      <c r="L302" s="71">
        <v>44946</v>
      </c>
      <c r="M302" s="71">
        <v>35956.800000000003</v>
      </c>
      <c r="N302" s="71">
        <v>53935.199999999997</v>
      </c>
      <c r="O302" s="71">
        <v>13467619.439999977</v>
      </c>
      <c r="P302" s="70">
        <v>44946</v>
      </c>
      <c r="Q302" s="70">
        <v>35956.800000000003</v>
      </c>
      <c r="R302" s="70">
        <v>53935.199999999997</v>
      </c>
      <c r="S302" s="70">
        <v>13467619.439999977</v>
      </c>
      <c r="T302" s="71">
        <v>44946</v>
      </c>
      <c r="U302" s="71">
        <v>35956.800000000003</v>
      </c>
      <c r="V302" s="71">
        <v>53935.199999999997</v>
      </c>
      <c r="W302" s="71">
        <v>13467619.439999977</v>
      </c>
      <c r="X302" s="70">
        <v>44946</v>
      </c>
      <c r="Y302" s="70">
        <v>35956.800000000003</v>
      </c>
      <c r="Z302" s="70">
        <v>53935.199999999997</v>
      </c>
      <c r="AA302" s="70">
        <v>13467619.439999977</v>
      </c>
      <c r="AB302" s="71">
        <v>44946</v>
      </c>
      <c r="AC302" s="71">
        <v>35956.800000000003</v>
      </c>
      <c r="AD302" s="71">
        <v>53935.199999999997</v>
      </c>
      <c r="AE302" s="71">
        <v>13467619.439999977</v>
      </c>
      <c r="AF302" s="70">
        <v>44946</v>
      </c>
      <c r="AG302" s="70">
        <v>35956.800000000003</v>
      </c>
      <c r="AH302" s="70">
        <v>53935.199999999997</v>
      </c>
      <c r="AI302" s="70">
        <v>13467619.439999977</v>
      </c>
      <c r="AJ302" s="72" t="s">
        <v>478</v>
      </c>
    </row>
    <row r="303" spans="1:37" customFormat="1" x14ac:dyDescent="0.25">
      <c r="A303" s="68">
        <v>296</v>
      </c>
      <c r="B303" s="69" t="s">
        <v>238</v>
      </c>
      <c r="C303" s="69" t="s">
        <v>776</v>
      </c>
      <c r="D303" s="69" t="s">
        <v>785</v>
      </c>
      <c r="E303" s="69" t="s">
        <v>861</v>
      </c>
      <c r="F303" s="69" t="s">
        <v>739</v>
      </c>
      <c r="G303" s="69" t="s">
        <v>237</v>
      </c>
      <c r="H303" s="70">
        <v>688000</v>
      </c>
      <c r="I303" s="70">
        <v>550400</v>
      </c>
      <c r="J303" s="70">
        <v>825600</v>
      </c>
      <c r="K303" s="70">
        <v>3155626666.6666665</v>
      </c>
      <c r="L303" s="71">
        <v>688000</v>
      </c>
      <c r="M303" s="71">
        <v>550400</v>
      </c>
      <c r="N303" s="71">
        <v>825600</v>
      </c>
      <c r="O303" s="71">
        <v>3155626666.6666665</v>
      </c>
      <c r="P303" s="70">
        <v>688000</v>
      </c>
      <c r="Q303" s="70">
        <v>550400</v>
      </c>
      <c r="R303" s="70">
        <v>825600</v>
      </c>
      <c r="S303" s="70">
        <v>3155626666.6666665</v>
      </c>
      <c r="T303" s="71">
        <v>688000</v>
      </c>
      <c r="U303" s="71">
        <v>550400</v>
      </c>
      <c r="V303" s="71">
        <v>825600</v>
      </c>
      <c r="W303" s="71">
        <v>3155626666.6666665</v>
      </c>
      <c r="X303" s="70">
        <v>688000</v>
      </c>
      <c r="Y303" s="70">
        <v>550400</v>
      </c>
      <c r="Z303" s="70">
        <v>825600</v>
      </c>
      <c r="AA303" s="70">
        <v>3155626666.6666665</v>
      </c>
      <c r="AB303" s="71">
        <v>688000</v>
      </c>
      <c r="AC303" s="71">
        <v>550400</v>
      </c>
      <c r="AD303" s="71">
        <v>825600</v>
      </c>
      <c r="AE303" s="71">
        <v>3155626666.6666665</v>
      </c>
      <c r="AF303" s="70">
        <v>688000</v>
      </c>
      <c r="AG303" s="70">
        <v>550400</v>
      </c>
      <c r="AH303" s="70">
        <v>825600</v>
      </c>
      <c r="AI303" s="70">
        <v>3155626666.6666665</v>
      </c>
      <c r="AJ303" s="72" t="s">
        <v>478</v>
      </c>
    </row>
    <row r="304" spans="1:37" customFormat="1" x14ac:dyDescent="0.25">
      <c r="A304" s="68">
        <v>297</v>
      </c>
      <c r="B304" s="69" t="s">
        <v>238</v>
      </c>
      <c r="C304" s="69" t="s">
        <v>648</v>
      </c>
      <c r="D304" s="69" t="s">
        <v>786</v>
      </c>
      <c r="E304" s="69" t="s">
        <v>887</v>
      </c>
      <c r="F304" s="69" t="s">
        <v>739</v>
      </c>
      <c r="G304" s="69" t="s">
        <v>237</v>
      </c>
      <c r="H304" s="70">
        <v>1274210.6505875583</v>
      </c>
      <c r="I304" s="70">
        <v>1019368.5204700467</v>
      </c>
      <c r="J304" s="70">
        <v>1529052.7807050699</v>
      </c>
      <c r="K304" s="70">
        <v>10824085213.80512</v>
      </c>
      <c r="L304" s="71">
        <v>1274210.6505875583</v>
      </c>
      <c r="M304" s="71">
        <v>1019368.5204700467</v>
      </c>
      <c r="N304" s="71">
        <v>1529052.7807050699</v>
      </c>
      <c r="O304" s="71">
        <v>10824085213.80512</v>
      </c>
      <c r="P304" s="70">
        <v>1274210.6505875583</v>
      </c>
      <c r="Q304" s="70">
        <v>1019368.5204700467</v>
      </c>
      <c r="R304" s="70">
        <v>1529052.7807050699</v>
      </c>
      <c r="S304" s="70">
        <v>10824085213.80512</v>
      </c>
      <c r="T304" s="71">
        <v>1274210.6505875583</v>
      </c>
      <c r="U304" s="71">
        <v>1019368.5204700467</v>
      </c>
      <c r="V304" s="71">
        <v>1529052.7807050699</v>
      </c>
      <c r="W304" s="71">
        <v>10824085213.80512</v>
      </c>
      <c r="X304" s="70">
        <v>1274210.6505875583</v>
      </c>
      <c r="Y304" s="70">
        <v>1019368.5204700467</v>
      </c>
      <c r="Z304" s="70">
        <v>1529052.7807050699</v>
      </c>
      <c r="AA304" s="70">
        <v>10824085213.80512</v>
      </c>
      <c r="AB304" s="71">
        <v>1274210.6505875583</v>
      </c>
      <c r="AC304" s="71">
        <v>1019368.5204700467</v>
      </c>
      <c r="AD304" s="71">
        <v>1529052.7807050699</v>
      </c>
      <c r="AE304" s="71">
        <v>10824085213.80512</v>
      </c>
      <c r="AF304" s="70">
        <v>1274210.6505875583</v>
      </c>
      <c r="AG304" s="70">
        <v>1019368.5204700467</v>
      </c>
      <c r="AH304" s="70">
        <v>1529052.7807050699</v>
      </c>
      <c r="AI304" s="70">
        <v>10824085213.80512</v>
      </c>
      <c r="AJ304" s="72" t="s">
        <v>478</v>
      </c>
    </row>
    <row r="305" spans="1:36" customFormat="1" x14ac:dyDescent="0.25">
      <c r="A305" s="68">
        <v>298</v>
      </c>
      <c r="B305" s="69" t="s">
        <v>238</v>
      </c>
      <c r="C305" s="69" t="s">
        <v>648</v>
      </c>
      <c r="D305" s="69" t="s">
        <v>787</v>
      </c>
      <c r="E305" s="69" t="s">
        <v>836</v>
      </c>
      <c r="F305" s="69" t="s">
        <v>739</v>
      </c>
      <c r="G305" s="69" t="s">
        <v>237</v>
      </c>
      <c r="H305" s="70">
        <v>89427</v>
      </c>
      <c r="I305" s="70">
        <v>71541.600000000006</v>
      </c>
      <c r="J305" s="70">
        <v>107312.4</v>
      </c>
      <c r="K305" s="70">
        <v>53314588.85999997</v>
      </c>
      <c r="L305" s="71">
        <v>89427</v>
      </c>
      <c r="M305" s="71">
        <v>71541.600000000006</v>
      </c>
      <c r="N305" s="71">
        <v>107312.4</v>
      </c>
      <c r="O305" s="71">
        <v>53314588.85999997</v>
      </c>
      <c r="P305" s="70">
        <v>89427</v>
      </c>
      <c r="Q305" s="70">
        <v>71541.600000000006</v>
      </c>
      <c r="R305" s="70">
        <v>107312.4</v>
      </c>
      <c r="S305" s="70">
        <v>53314588.85999997</v>
      </c>
      <c r="T305" s="71">
        <v>89427</v>
      </c>
      <c r="U305" s="71">
        <v>71541.600000000006</v>
      </c>
      <c r="V305" s="71">
        <v>107312.4</v>
      </c>
      <c r="W305" s="71">
        <v>53314588.85999997</v>
      </c>
      <c r="X305" s="70">
        <v>89427</v>
      </c>
      <c r="Y305" s="70">
        <v>71541.600000000006</v>
      </c>
      <c r="Z305" s="70">
        <v>107312.4</v>
      </c>
      <c r="AA305" s="70">
        <v>53314588.85999997</v>
      </c>
      <c r="AB305" s="71">
        <v>89427</v>
      </c>
      <c r="AC305" s="71">
        <v>71541.600000000006</v>
      </c>
      <c r="AD305" s="71">
        <v>107312.4</v>
      </c>
      <c r="AE305" s="71">
        <v>53314588.85999997</v>
      </c>
      <c r="AF305" s="70">
        <v>89427</v>
      </c>
      <c r="AG305" s="70">
        <v>71541.600000000006</v>
      </c>
      <c r="AH305" s="70">
        <v>107312.4</v>
      </c>
      <c r="AI305" s="70">
        <v>53314588.85999997</v>
      </c>
      <c r="AJ305" s="72" t="s">
        <v>478</v>
      </c>
    </row>
    <row r="306" spans="1:36" customFormat="1" x14ac:dyDescent="0.25">
      <c r="A306" s="68">
        <v>299</v>
      </c>
      <c r="B306" s="69" t="s">
        <v>238</v>
      </c>
      <c r="C306" s="69" t="s">
        <v>648</v>
      </c>
      <c r="D306" s="69" t="s">
        <v>788</v>
      </c>
      <c r="E306" s="69" t="s">
        <v>837</v>
      </c>
      <c r="F306" s="69" t="s">
        <v>739</v>
      </c>
      <c r="G306" s="69" t="s">
        <v>237</v>
      </c>
      <c r="H306" s="70">
        <v>238192.21722490308</v>
      </c>
      <c r="I306" s="70">
        <v>190553.77377992246</v>
      </c>
      <c r="J306" s="70">
        <v>285830.66066988371</v>
      </c>
      <c r="K306" s="70">
        <v>378236882.31010306</v>
      </c>
      <c r="L306" s="71">
        <v>238192.21722490308</v>
      </c>
      <c r="M306" s="71">
        <v>190553.77377992246</v>
      </c>
      <c r="N306" s="71">
        <v>285830.66066988371</v>
      </c>
      <c r="O306" s="71">
        <v>378236882.31010306</v>
      </c>
      <c r="P306" s="70">
        <v>238192.21722490308</v>
      </c>
      <c r="Q306" s="70">
        <v>190553.77377992246</v>
      </c>
      <c r="R306" s="70">
        <v>285830.66066988371</v>
      </c>
      <c r="S306" s="70">
        <v>378236882.31010306</v>
      </c>
      <c r="T306" s="71">
        <v>238192.21722490308</v>
      </c>
      <c r="U306" s="71">
        <v>190553.77377992246</v>
      </c>
      <c r="V306" s="71">
        <v>285830.66066988371</v>
      </c>
      <c r="W306" s="71">
        <v>378236882.31010306</v>
      </c>
      <c r="X306" s="70">
        <v>238192.21722490308</v>
      </c>
      <c r="Y306" s="70">
        <v>190553.77377992246</v>
      </c>
      <c r="Z306" s="70">
        <v>285830.66066988371</v>
      </c>
      <c r="AA306" s="70">
        <v>378236882.31010306</v>
      </c>
      <c r="AB306" s="71">
        <v>238192.21722490308</v>
      </c>
      <c r="AC306" s="71">
        <v>190553.77377992246</v>
      </c>
      <c r="AD306" s="71">
        <v>285830.66066988371</v>
      </c>
      <c r="AE306" s="71">
        <v>378236882.31010306</v>
      </c>
      <c r="AF306" s="70">
        <v>238192.21722490308</v>
      </c>
      <c r="AG306" s="70">
        <v>190553.77377992246</v>
      </c>
      <c r="AH306" s="70">
        <v>285830.66066988371</v>
      </c>
      <c r="AI306" s="70">
        <v>378236882.31010306</v>
      </c>
      <c r="AJ306" s="72" t="s">
        <v>478</v>
      </c>
    </row>
    <row r="307" spans="1:36" customFormat="1" x14ac:dyDescent="0.25">
      <c r="A307" s="68">
        <v>300</v>
      </c>
      <c r="B307" s="69" t="s">
        <v>238</v>
      </c>
      <c r="C307" s="69" t="s">
        <v>648</v>
      </c>
      <c r="D307" s="69" t="s">
        <v>789</v>
      </c>
      <c r="E307" s="69" t="s">
        <v>838</v>
      </c>
      <c r="F307" s="69" t="s">
        <v>739</v>
      </c>
      <c r="G307" s="69" t="s">
        <v>237</v>
      </c>
      <c r="H307" s="70">
        <v>25740</v>
      </c>
      <c r="I307" s="70">
        <v>20592</v>
      </c>
      <c r="J307" s="70">
        <v>30888</v>
      </c>
      <c r="K307" s="70">
        <v>4416984</v>
      </c>
      <c r="L307" s="71">
        <v>25740</v>
      </c>
      <c r="M307" s="71">
        <v>20592</v>
      </c>
      <c r="N307" s="71">
        <v>30888</v>
      </c>
      <c r="O307" s="71">
        <v>4416984</v>
      </c>
      <c r="P307" s="70">
        <v>25740</v>
      </c>
      <c r="Q307" s="70">
        <v>20592</v>
      </c>
      <c r="R307" s="70">
        <v>30888</v>
      </c>
      <c r="S307" s="70">
        <v>4416984</v>
      </c>
      <c r="T307" s="71">
        <v>25740</v>
      </c>
      <c r="U307" s="71">
        <v>20592</v>
      </c>
      <c r="V307" s="71">
        <v>30888</v>
      </c>
      <c r="W307" s="71">
        <v>4416984</v>
      </c>
      <c r="X307" s="70">
        <v>25740</v>
      </c>
      <c r="Y307" s="70">
        <v>20592</v>
      </c>
      <c r="Z307" s="70">
        <v>30888</v>
      </c>
      <c r="AA307" s="70">
        <v>4416984</v>
      </c>
      <c r="AB307" s="71">
        <v>25740</v>
      </c>
      <c r="AC307" s="71">
        <v>20592</v>
      </c>
      <c r="AD307" s="71">
        <v>30888</v>
      </c>
      <c r="AE307" s="71">
        <v>4416984</v>
      </c>
      <c r="AF307" s="70">
        <v>25740</v>
      </c>
      <c r="AG307" s="70">
        <v>20592</v>
      </c>
      <c r="AH307" s="70">
        <v>30888</v>
      </c>
      <c r="AI307" s="70">
        <v>4416984</v>
      </c>
      <c r="AJ307" s="72" t="s">
        <v>478</v>
      </c>
    </row>
    <row r="308" spans="1:36" customFormat="1" x14ac:dyDescent="0.25">
      <c r="A308" s="68">
        <v>301</v>
      </c>
      <c r="B308" s="69" t="s">
        <v>238</v>
      </c>
      <c r="C308" s="69" t="s">
        <v>590</v>
      </c>
      <c r="D308" s="69" t="s">
        <v>790</v>
      </c>
      <c r="E308" s="69" t="s">
        <v>888</v>
      </c>
      <c r="F308" s="69" t="s">
        <v>739</v>
      </c>
      <c r="G308" s="69" t="s">
        <v>237</v>
      </c>
      <c r="H308" s="70">
        <v>434914.82257354696</v>
      </c>
      <c r="I308" s="70">
        <v>347931.85805883759</v>
      </c>
      <c r="J308" s="70">
        <v>521897.78708825633</v>
      </c>
      <c r="K308" s="70">
        <v>1261006019.2945302</v>
      </c>
      <c r="L308" s="71">
        <v>0</v>
      </c>
      <c r="M308" s="71">
        <v>0</v>
      </c>
      <c r="N308" s="71">
        <v>0</v>
      </c>
      <c r="O308" s="71">
        <v>0</v>
      </c>
      <c r="P308" s="70">
        <v>0</v>
      </c>
      <c r="Q308" s="70">
        <v>0</v>
      </c>
      <c r="R308" s="70">
        <v>0</v>
      </c>
      <c r="S308" s="70">
        <v>0</v>
      </c>
      <c r="T308" s="71">
        <v>0</v>
      </c>
      <c r="U308" s="71">
        <v>0</v>
      </c>
      <c r="V308" s="71">
        <v>0</v>
      </c>
      <c r="W308" s="71">
        <v>0</v>
      </c>
      <c r="X308" s="70">
        <v>0</v>
      </c>
      <c r="Y308" s="70">
        <v>0</v>
      </c>
      <c r="Z308" s="70">
        <v>0</v>
      </c>
      <c r="AA308" s="70">
        <v>0</v>
      </c>
      <c r="AB308" s="71">
        <v>0</v>
      </c>
      <c r="AC308" s="71">
        <v>0</v>
      </c>
      <c r="AD308" s="71">
        <v>0</v>
      </c>
      <c r="AE308" s="71">
        <v>0</v>
      </c>
      <c r="AF308" s="70">
        <v>0</v>
      </c>
      <c r="AG308" s="70">
        <v>0</v>
      </c>
      <c r="AH308" s="70">
        <v>0</v>
      </c>
      <c r="AI308" s="70">
        <v>0</v>
      </c>
      <c r="AJ308" s="72" t="s">
        <v>478</v>
      </c>
    </row>
    <row r="309" spans="1:36" customFormat="1" x14ac:dyDescent="0.25">
      <c r="A309" s="68">
        <v>302</v>
      </c>
      <c r="B309" s="69" t="s">
        <v>238</v>
      </c>
      <c r="C309" s="69" t="s">
        <v>590</v>
      </c>
      <c r="D309" s="69" t="s">
        <v>791</v>
      </c>
      <c r="E309" s="69" t="s">
        <v>862</v>
      </c>
      <c r="F309" s="69" t="s">
        <v>739</v>
      </c>
      <c r="G309" s="69" t="s">
        <v>237</v>
      </c>
      <c r="H309" s="70">
        <v>30000</v>
      </c>
      <c r="I309" s="70">
        <v>24000</v>
      </c>
      <c r="J309" s="70">
        <v>36000</v>
      </c>
      <c r="K309" s="70">
        <v>6000000</v>
      </c>
      <c r="L309" s="71">
        <v>0</v>
      </c>
      <c r="M309" s="71">
        <v>0</v>
      </c>
      <c r="N309" s="71">
        <v>0</v>
      </c>
      <c r="O309" s="71">
        <v>0</v>
      </c>
      <c r="P309" s="70">
        <v>0</v>
      </c>
      <c r="Q309" s="70">
        <v>0</v>
      </c>
      <c r="R309" s="70">
        <v>0</v>
      </c>
      <c r="S309" s="70">
        <v>0</v>
      </c>
      <c r="T309" s="71">
        <v>0</v>
      </c>
      <c r="U309" s="71">
        <v>0</v>
      </c>
      <c r="V309" s="71">
        <v>0</v>
      </c>
      <c r="W309" s="71">
        <v>0</v>
      </c>
      <c r="X309" s="70">
        <v>0</v>
      </c>
      <c r="Y309" s="70">
        <v>0</v>
      </c>
      <c r="Z309" s="70">
        <v>0</v>
      </c>
      <c r="AA309" s="70">
        <v>0</v>
      </c>
      <c r="AB309" s="71">
        <v>0</v>
      </c>
      <c r="AC309" s="71">
        <v>0</v>
      </c>
      <c r="AD309" s="71">
        <v>0</v>
      </c>
      <c r="AE309" s="71">
        <v>0</v>
      </c>
      <c r="AF309" s="70">
        <v>0</v>
      </c>
      <c r="AG309" s="70">
        <v>0</v>
      </c>
      <c r="AH309" s="70">
        <v>0</v>
      </c>
      <c r="AI309" s="70">
        <v>0</v>
      </c>
      <c r="AJ309" s="72" t="s">
        <v>478</v>
      </c>
    </row>
    <row r="310" spans="1:36" customFormat="1" x14ac:dyDescent="0.25">
      <c r="A310" s="68">
        <v>303</v>
      </c>
      <c r="B310" s="69" t="s">
        <v>238</v>
      </c>
      <c r="C310" s="69" t="s">
        <v>590</v>
      </c>
      <c r="D310" s="69" t="s">
        <v>792</v>
      </c>
      <c r="E310" s="69" t="s">
        <v>863</v>
      </c>
      <c r="F310" s="69" t="s">
        <v>739</v>
      </c>
      <c r="G310" s="69" t="s">
        <v>237</v>
      </c>
      <c r="H310" s="70">
        <v>15000</v>
      </c>
      <c r="I310" s="70">
        <v>12000</v>
      </c>
      <c r="J310" s="70">
        <v>18000</v>
      </c>
      <c r="K310" s="70">
        <v>1500000</v>
      </c>
      <c r="L310" s="71">
        <v>0</v>
      </c>
      <c r="M310" s="71">
        <v>0</v>
      </c>
      <c r="N310" s="71">
        <v>0</v>
      </c>
      <c r="O310" s="71">
        <v>0</v>
      </c>
      <c r="P310" s="70">
        <v>0</v>
      </c>
      <c r="Q310" s="70">
        <v>0</v>
      </c>
      <c r="R310" s="70">
        <v>0</v>
      </c>
      <c r="S310" s="70">
        <v>0</v>
      </c>
      <c r="T310" s="71">
        <v>0</v>
      </c>
      <c r="U310" s="71">
        <v>0</v>
      </c>
      <c r="V310" s="71">
        <v>0</v>
      </c>
      <c r="W310" s="71">
        <v>0</v>
      </c>
      <c r="X310" s="70">
        <v>0</v>
      </c>
      <c r="Y310" s="70">
        <v>0</v>
      </c>
      <c r="Z310" s="70">
        <v>0</v>
      </c>
      <c r="AA310" s="70">
        <v>0</v>
      </c>
      <c r="AB310" s="71">
        <v>0</v>
      </c>
      <c r="AC310" s="71">
        <v>0</v>
      </c>
      <c r="AD310" s="71">
        <v>0</v>
      </c>
      <c r="AE310" s="71">
        <v>0</v>
      </c>
      <c r="AF310" s="70">
        <v>0</v>
      </c>
      <c r="AG310" s="70">
        <v>0</v>
      </c>
      <c r="AH310" s="70">
        <v>0</v>
      </c>
      <c r="AI310" s="70">
        <v>0</v>
      </c>
      <c r="AJ310" s="72" t="s">
        <v>478</v>
      </c>
    </row>
    <row r="311" spans="1:36" customFormat="1" x14ac:dyDescent="0.25">
      <c r="A311" s="68">
        <v>304</v>
      </c>
      <c r="B311" s="69" t="s">
        <v>238</v>
      </c>
      <c r="C311" s="69" t="s">
        <v>590</v>
      </c>
      <c r="D311" s="69" t="s">
        <v>793</v>
      </c>
      <c r="E311" s="69" t="s">
        <v>794</v>
      </c>
      <c r="F311" s="69" t="s">
        <v>744</v>
      </c>
      <c r="G311" s="69" t="s">
        <v>237</v>
      </c>
      <c r="H311" s="70">
        <v>3.13</v>
      </c>
      <c r="I311" s="70">
        <v>2.504</v>
      </c>
      <c r="J311" s="70">
        <v>3.7559999999999998</v>
      </c>
      <c r="K311" s="70">
        <v>6.5312666666666644E-2</v>
      </c>
      <c r="L311" s="71">
        <v>0</v>
      </c>
      <c r="M311" s="71">
        <v>0</v>
      </c>
      <c r="N311" s="71">
        <v>0</v>
      </c>
      <c r="O311" s="71">
        <v>0</v>
      </c>
      <c r="P311" s="70">
        <v>0</v>
      </c>
      <c r="Q311" s="70">
        <v>0</v>
      </c>
      <c r="R311" s="70">
        <v>0</v>
      </c>
      <c r="S311" s="70">
        <v>0</v>
      </c>
      <c r="T311" s="71">
        <v>0</v>
      </c>
      <c r="U311" s="71">
        <v>0</v>
      </c>
      <c r="V311" s="71">
        <v>0</v>
      </c>
      <c r="W311" s="71">
        <v>0</v>
      </c>
      <c r="X311" s="70">
        <v>0</v>
      </c>
      <c r="Y311" s="70">
        <v>0</v>
      </c>
      <c r="Z311" s="70">
        <v>0</v>
      </c>
      <c r="AA311" s="70">
        <v>0</v>
      </c>
      <c r="AB311" s="71">
        <v>0</v>
      </c>
      <c r="AC311" s="71">
        <v>0</v>
      </c>
      <c r="AD311" s="71">
        <v>0</v>
      </c>
      <c r="AE311" s="71">
        <v>0</v>
      </c>
      <c r="AF311" s="70">
        <v>0</v>
      </c>
      <c r="AG311" s="70">
        <v>0</v>
      </c>
      <c r="AH311" s="70">
        <v>0</v>
      </c>
      <c r="AI311" s="70">
        <v>0</v>
      </c>
      <c r="AJ311" s="72" t="s">
        <v>478</v>
      </c>
    </row>
    <row r="312" spans="1:36" customFormat="1" x14ac:dyDescent="0.25">
      <c r="A312" s="68">
        <v>305</v>
      </c>
      <c r="B312" s="69" t="s">
        <v>238</v>
      </c>
      <c r="C312" s="69" t="s">
        <v>590</v>
      </c>
      <c r="D312" s="69" t="s">
        <v>795</v>
      </c>
      <c r="E312" s="69" t="s">
        <v>796</v>
      </c>
      <c r="F312" s="69" t="s">
        <v>744</v>
      </c>
      <c r="G312" s="69" t="s">
        <v>237</v>
      </c>
      <c r="H312" s="70">
        <v>0.68</v>
      </c>
      <c r="I312" s="70">
        <v>0.54400000000000004</v>
      </c>
      <c r="J312" s="70">
        <v>0.81600000000000006</v>
      </c>
      <c r="K312" s="70">
        <v>3.082666666666678E-3</v>
      </c>
      <c r="L312" s="71">
        <v>0</v>
      </c>
      <c r="M312" s="71">
        <v>0</v>
      </c>
      <c r="N312" s="71">
        <v>0</v>
      </c>
      <c r="O312" s="71">
        <v>0</v>
      </c>
      <c r="P312" s="70">
        <v>0</v>
      </c>
      <c r="Q312" s="70">
        <v>0</v>
      </c>
      <c r="R312" s="70">
        <v>0</v>
      </c>
      <c r="S312" s="70">
        <v>0</v>
      </c>
      <c r="T312" s="71">
        <v>0</v>
      </c>
      <c r="U312" s="71">
        <v>0</v>
      </c>
      <c r="V312" s="71">
        <v>0</v>
      </c>
      <c r="W312" s="71">
        <v>0</v>
      </c>
      <c r="X312" s="70">
        <v>0</v>
      </c>
      <c r="Y312" s="70">
        <v>0</v>
      </c>
      <c r="Z312" s="70">
        <v>0</v>
      </c>
      <c r="AA312" s="70">
        <v>0</v>
      </c>
      <c r="AB312" s="71">
        <v>0</v>
      </c>
      <c r="AC312" s="71">
        <v>0</v>
      </c>
      <c r="AD312" s="71">
        <v>0</v>
      </c>
      <c r="AE312" s="71">
        <v>0</v>
      </c>
      <c r="AF312" s="70">
        <v>0</v>
      </c>
      <c r="AG312" s="70">
        <v>0</v>
      </c>
      <c r="AH312" s="70">
        <v>0</v>
      </c>
      <c r="AI312" s="70">
        <v>0</v>
      </c>
      <c r="AJ312" s="72" t="s">
        <v>478</v>
      </c>
    </row>
    <row r="313" spans="1:36" customFormat="1" x14ac:dyDescent="0.25">
      <c r="A313" s="68">
        <v>306</v>
      </c>
      <c r="B313" s="69" t="s">
        <v>238</v>
      </c>
      <c r="C313" s="69" t="s">
        <v>602</v>
      </c>
      <c r="D313" s="69" t="s">
        <v>797</v>
      </c>
      <c r="E313" s="69" t="s">
        <v>889</v>
      </c>
      <c r="F313" s="69" t="s">
        <v>739</v>
      </c>
      <c r="G313" s="69" t="s">
        <v>237</v>
      </c>
      <c r="H313" s="70">
        <v>0</v>
      </c>
      <c r="I313" s="70">
        <v>0</v>
      </c>
      <c r="J313" s="70">
        <v>0</v>
      </c>
      <c r="K313" s="70">
        <v>0</v>
      </c>
      <c r="L313" s="71">
        <v>0</v>
      </c>
      <c r="M313" s="71">
        <v>0</v>
      </c>
      <c r="N313" s="71">
        <v>0</v>
      </c>
      <c r="O313" s="71">
        <v>0</v>
      </c>
      <c r="P313" s="70">
        <v>0</v>
      </c>
      <c r="Q313" s="70">
        <v>0</v>
      </c>
      <c r="R313" s="70">
        <v>0</v>
      </c>
      <c r="S313" s="70">
        <v>0</v>
      </c>
      <c r="T313" s="71">
        <v>192582.20925765915</v>
      </c>
      <c r="U313" s="71">
        <v>154065.76740612733</v>
      </c>
      <c r="V313" s="71">
        <v>231098.65110919098</v>
      </c>
      <c r="W313" s="71">
        <v>247252715.4837392</v>
      </c>
      <c r="X313" s="70">
        <v>192582.20925765915</v>
      </c>
      <c r="Y313" s="70">
        <v>154065.76740612733</v>
      </c>
      <c r="Z313" s="70">
        <v>231098.65110919098</v>
      </c>
      <c r="AA313" s="70">
        <v>247252715.4837392</v>
      </c>
      <c r="AB313" s="71">
        <v>0</v>
      </c>
      <c r="AC313" s="71">
        <v>0</v>
      </c>
      <c r="AD313" s="71">
        <v>0</v>
      </c>
      <c r="AE313" s="71">
        <v>0</v>
      </c>
      <c r="AF313" s="70">
        <v>192582.20925765915</v>
      </c>
      <c r="AG313" s="70">
        <v>154065.76740612733</v>
      </c>
      <c r="AH313" s="70">
        <v>231098.65110919098</v>
      </c>
      <c r="AI313" s="70">
        <v>247252715.4837392</v>
      </c>
      <c r="AJ313" s="72" t="s">
        <v>478</v>
      </c>
    </row>
    <row r="314" spans="1:36" customFormat="1" x14ac:dyDescent="0.25">
      <c r="A314" s="68">
        <v>307</v>
      </c>
      <c r="B314" s="69" t="s">
        <v>238</v>
      </c>
      <c r="C314" s="69" t="s">
        <v>602</v>
      </c>
      <c r="D314" s="69" t="s">
        <v>798</v>
      </c>
      <c r="E314" s="69" t="s">
        <v>864</v>
      </c>
      <c r="F314" s="69" t="s">
        <v>739</v>
      </c>
      <c r="G314" s="69" t="s">
        <v>237</v>
      </c>
      <c r="H314" s="70">
        <v>0</v>
      </c>
      <c r="I314" s="70">
        <v>0</v>
      </c>
      <c r="J314" s="70">
        <v>0</v>
      </c>
      <c r="K314" s="70">
        <v>0</v>
      </c>
      <c r="L314" s="71">
        <v>0</v>
      </c>
      <c r="M314" s="71">
        <v>0</v>
      </c>
      <c r="N314" s="71">
        <v>0</v>
      </c>
      <c r="O314" s="71">
        <v>0</v>
      </c>
      <c r="P314" s="70">
        <v>0</v>
      </c>
      <c r="Q314" s="70">
        <v>0</v>
      </c>
      <c r="R314" s="70">
        <v>0</v>
      </c>
      <c r="S314" s="70">
        <v>0</v>
      </c>
      <c r="T314" s="71">
        <v>72000</v>
      </c>
      <c r="U314" s="71">
        <v>57600</v>
      </c>
      <c r="V314" s="71">
        <v>86400</v>
      </c>
      <c r="W314" s="71">
        <v>34560000</v>
      </c>
      <c r="X314" s="70">
        <v>72000</v>
      </c>
      <c r="Y314" s="70">
        <v>57600</v>
      </c>
      <c r="Z314" s="70">
        <v>86400</v>
      </c>
      <c r="AA314" s="70">
        <v>34560000</v>
      </c>
      <c r="AB314" s="71">
        <v>0</v>
      </c>
      <c r="AC314" s="71">
        <v>0</v>
      </c>
      <c r="AD314" s="71">
        <v>0</v>
      </c>
      <c r="AE314" s="71">
        <v>0</v>
      </c>
      <c r="AF314" s="70">
        <v>72000</v>
      </c>
      <c r="AG314" s="70">
        <v>57600</v>
      </c>
      <c r="AH314" s="70">
        <v>86400</v>
      </c>
      <c r="AI314" s="70">
        <v>34560000</v>
      </c>
      <c r="AJ314" s="72" t="s">
        <v>478</v>
      </c>
    </row>
    <row r="315" spans="1:36" customFormat="1" x14ac:dyDescent="0.25">
      <c r="A315" s="68">
        <v>308</v>
      </c>
      <c r="B315" s="69" t="s">
        <v>238</v>
      </c>
      <c r="C315" s="69" t="s">
        <v>602</v>
      </c>
      <c r="D315" s="69" t="s">
        <v>799</v>
      </c>
      <c r="E315" s="69" t="s">
        <v>865</v>
      </c>
      <c r="F315" s="69" t="s">
        <v>739</v>
      </c>
      <c r="G315" s="69" t="s">
        <v>237</v>
      </c>
      <c r="H315" s="70">
        <v>0</v>
      </c>
      <c r="I315" s="70">
        <v>0</v>
      </c>
      <c r="J315" s="70">
        <v>0</v>
      </c>
      <c r="K315" s="70">
        <v>0</v>
      </c>
      <c r="L315" s="71">
        <v>0</v>
      </c>
      <c r="M315" s="71">
        <v>0</v>
      </c>
      <c r="N315" s="71">
        <v>0</v>
      </c>
      <c r="O315" s="71">
        <v>0</v>
      </c>
      <c r="P315" s="70">
        <v>0</v>
      </c>
      <c r="Q315" s="70">
        <v>0</v>
      </c>
      <c r="R315" s="70">
        <v>0</v>
      </c>
      <c r="S315" s="70">
        <v>0</v>
      </c>
      <c r="T315" s="71">
        <v>36000</v>
      </c>
      <c r="U315" s="71">
        <v>28800</v>
      </c>
      <c r="V315" s="71">
        <v>43200</v>
      </c>
      <c r="W315" s="71">
        <v>8640000</v>
      </c>
      <c r="X315" s="70">
        <v>36000</v>
      </c>
      <c r="Y315" s="70">
        <v>28800</v>
      </c>
      <c r="Z315" s="70">
        <v>43200</v>
      </c>
      <c r="AA315" s="70">
        <v>8640000</v>
      </c>
      <c r="AB315" s="71">
        <v>0</v>
      </c>
      <c r="AC315" s="71">
        <v>0</v>
      </c>
      <c r="AD315" s="71">
        <v>0</v>
      </c>
      <c r="AE315" s="71">
        <v>0</v>
      </c>
      <c r="AF315" s="70">
        <v>36000</v>
      </c>
      <c r="AG315" s="70">
        <v>28800</v>
      </c>
      <c r="AH315" s="70">
        <v>43200</v>
      </c>
      <c r="AI315" s="70">
        <v>8640000</v>
      </c>
      <c r="AJ315" s="72" t="s">
        <v>478</v>
      </c>
    </row>
    <row r="316" spans="1:36" customFormat="1" x14ac:dyDescent="0.25">
      <c r="A316" s="68">
        <v>309</v>
      </c>
      <c r="B316" s="69" t="s">
        <v>238</v>
      </c>
      <c r="C316" s="69" t="s">
        <v>619</v>
      </c>
      <c r="D316" s="69" t="s">
        <v>800</v>
      </c>
      <c r="E316" s="69" t="s">
        <v>890</v>
      </c>
      <c r="F316" s="69" t="s">
        <v>739</v>
      </c>
      <c r="G316" s="69" t="s">
        <v>237</v>
      </c>
      <c r="H316" s="70">
        <v>0</v>
      </c>
      <c r="I316" s="70">
        <v>0</v>
      </c>
      <c r="J316" s="70">
        <v>0</v>
      </c>
      <c r="K316" s="70">
        <v>0</v>
      </c>
      <c r="L316" s="71">
        <v>0</v>
      </c>
      <c r="M316" s="71">
        <v>0</v>
      </c>
      <c r="N316" s="71">
        <v>0</v>
      </c>
      <c r="O316" s="71">
        <v>0</v>
      </c>
      <c r="P316" s="70">
        <v>938838.27013108833</v>
      </c>
      <c r="Q316" s="70">
        <v>802425.87190691323</v>
      </c>
      <c r="R316" s="70">
        <v>1203638.8078603698</v>
      </c>
      <c r="S316" s="70">
        <v>6936096865.2049961</v>
      </c>
      <c r="T316" s="71">
        <v>0</v>
      </c>
      <c r="U316" s="71">
        <v>0</v>
      </c>
      <c r="V316" s="71">
        <v>0</v>
      </c>
      <c r="W316" s="71">
        <v>0</v>
      </c>
      <c r="X316" s="70">
        <v>0</v>
      </c>
      <c r="Y316" s="70">
        <v>0</v>
      </c>
      <c r="Z316" s="70">
        <v>0</v>
      </c>
      <c r="AA316" s="70">
        <v>0</v>
      </c>
      <c r="AB316" s="71">
        <v>0</v>
      </c>
      <c r="AC316" s="71">
        <v>0</v>
      </c>
      <c r="AD316" s="71">
        <v>0</v>
      </c>
      <c r="AE316" s="71">
        <v>0</v>
      </c>
      <c r="AF316" s="70">
        <v>0</v>
      </c>
      <c r="AG316" s="70">
        <v>0</v>
      </c>
      <c r="AH316" s="70">
        <v>0</v>
      </c>
      <c r="AI316" s="70">
        <v>0</v>
      </c>
      <c r="AJ316" s="72" t="s">
        <v>947</v>
      </c>
    </row>
    <row r="317" spans="1:36" customFormat="1" x14ac:dyDescent="0.25">
      <c r="A317" s="68">
        <v>310</v>
      </c>
      <c r="B317" s="69" t="s">
        <v>238</v>
      </c>
      <c r="C317" s="69" t="s">
        <v>619</v>
      </c>
      <c r="D317" s="69" t="s">
        <v>801</v>
      </c>
      <c r="E317" s="69" t="s">
        <v>866</v>
      </c>
      <c r="F317" s="69" t="s">
        <v>739</v>
      </c>
      <c r="G317" s="69" t="s">
        <v>237</v>
      </c>
      <c r="H317" s="70">
        <v>0</v>
      </c>
      <c r="I317" s="70">
        <v>0</v>
      </c>
      <c r="J317" s="70">
        <v>0</v>
      </c>
      <c r="K317" s="70">
        <v>0</v>
      </c>
      <c r="L317" s="71">
        <v>0</v>
      </c>
      <c r="M317" s="71">
        <v>0</v>
      </c>
      <c r="N317" s="71">
        <v>0</v>
      </c>
      <c r="O317" s="71">
        <v>0</v>
      </c>
      <c r="P317" s="70">
        <v>351000</v>
      </c>
      <c r="Q317" s="70">
        <v>280800</v>
      </c>
      <c r="R317" s="70">
        <v>421200</v>
      </c>
      <c r="S317" s="70">
        <v>821340000</v>
      </c>
      <c r="T317" s="71">
        <v>0</v>
      </c>
      <c r="U317" s="71">
        <v>0</v>
      </c>
      <c r="V317" s="71">
        <v>0</v>
      </c>
      <c r="W317" s="71">
        <v>0</v>
      </c>
      <c r="X317" s="70">
        <v>0</v>
      </c>
      <c r="Y317" s="70">
        <v>0</v>
      </c>
      <c r="Z317" s="70">
        <v>0</v>
      </c>
      <c r="AA317" s="70">
        <v>0</v>
      </c>
      <c r="AB317" s="71">
        <v>0</v>
      </c>
      <c r="AC317" s="71">
        <v>0</v>
      </c>
      <c r="AD317" s="71">
        <v>0</v>
      </c>
      <c r="AE317" s="71">
        <v>0</v>
      </c>
      <c r="AF317" s="70">
        <v>0</v>
      </c>
      <c r="AG317" s="70">
        <v>0</v>
      </c>
      <c r="AH317" s="70">
        <v>0</v>
      </c>
      <c r="AI317" s="70">
        <v>0</v>
      </c>
      <c r="AJ317" s="72" t="s">
        <v>478</v>
      </c>
    </row>
    <row r="318" spans="1:36" customFormat="1" x14ac:dyDescent="0.25">
      <c r="A318" s="68">
        <v>311</v>
      </c>
      <c r="B318" s="69" t="s">
        <v>238</v>
      </c>
      <c r="C318" s="69" t="s">
        <v>619</v>
      </c>
      <c r="D318" s="69" t="s">
        <v>802</v>
      </c>
      <c r="E318" s="69" t="s">
        <v>867</v>
      </c>
      <c r="F318" s="69" t="s">
        <v>739</v>
      </c>
      <c r="G318" s="69" t="s">
        <v>237</v>
      </c>
      <c r="H318" s="70">
        <v>0</v>
      </c>
      <c r="I318" s="70">
        <v>0</v>
      </c>
      <c r="J318" s="70">
        <v>0</v>
      </c>
      <c r="K318" s="70">
        <v>0</v>
      </c>
      <c r="L318" s="71">
        <v>0</v>
      </c>
      <c r="M318" s="71">
        <v>0</v>
      </c>
      <c r="N318" s="71">
        <v>0</v>
      </c>
      <c r="O318" s="71">
        <v>0</v>
      </c>
      <c r="P318" s="70">
        <v>58500</v>
      </c>
      <c r="Q318" s="70">
        <v>46800</v>
      </c>
      <c r="R318" s="70">
        <v>70200</v>
      </c>
      <c r="S318" s="70">
        <v>22815000</v>
      </c>
      <c r="T318" s="71">
        <v>0</v>
      </c>
      <c r="U318" s="71">
        <v>0</v>
      </c>
      <c r="V318" s="71">
        <v>0</v>
      </c>
      <c r="W318" s="71">
        <v>0</v>
      </c>
      <c r="X318" s="70">
        <v>0</v>
      </c>
      <c r="Y318" s="70">
        <v>0</v>
      </c>
      <c r="Z318" s="70">
        <v>0</v>
      </c>
      <c r="AA318" s="70">
        <v>0</v>
      </c>
      <c r="AB318" s="71">
        <v>0</v>
      </c>
      <c r="AC318" s="71">
        <v>0</v>
      </c>
      <c r="AD318" s="71">
        <v>0</v>
      </c>
      <c r="AE318" s="71">
        <v>0</v>
      </c>
      <c r="AF318" s="70">
        <v>0</v>
      </c>
      <c r="AG318" s="70">
        <v>0</v>
      </c>
      <c r="AH318" s="70">
        <v>0</v>
      </c>
      <c r="AI318" s="70">
        <v>0</v>
      </c>
      <c r="AJ318" s="72" t="s">
        <v>478</v>
      </c>
    </row>
    <row r="319" spans="1:36" customFormat="1" x14ac:dyDescent="0.25">
      <c r="A319" s="68">
        <v>312</v>
      </c>
      <c r="B319" s="69" t="s">
        <v>238</v>
      </c>
      <c r="C319" s="69" t="s">
        <v>803</v>
      </c>
      <c r="D319" s="69" t="s">
        <v>804</v>
      </c>
      <c r="E319" s="69" t="s">
        <v>805</v>
      </c>
      <c r="F319" s="69" t="s">
        <v>744</v>
      </c>
      <c r="G319" s="69" t="s">
        <v>237</v>
      </c>
      <c r="H319" s="70">
        <v>0.126</v>
      </c>
      <c r="I319" s="70">
        <v>0.1008</v>
      </c>
      <c r="J319" s="70">
        <v>0.1512</v>
      </c>
      <c r="K319" s="70">
        <v>1.0584000000000037E-4</v>
      </c>
      <c r="L319" s="71">
        <v>0.126</v>
      </c>
      <c r="M319" s="71">
        <v>0.1008</v>
      </c>
      <c r="N319" s="71">
        <v>0.1512</v>
      </c>
      <c r="O319" s="71">
        <v>1.0584000000000037E-4</v>
      </c>
      <c r="P319" s="70">
        <v>0.126</v>
      </c>
      <c r="Q319" s="70">
        <v>0.1008</v>
      </c>
      <c r="R319" s="70">
        <v>0.1512</v>
      </c>
      <c r="S319" s="70">
        <v>1.0584000000000037E-4</v>
      </c>
      <c r="T319" s="71">
        <v>0.126</v>
      </c>
      <c r="U319" s="71">
        <v>0.1008</v>
      </c>
      <c r="V319" s="71">
        <v>0.1512</v>
      </c>
      <c r="W319" s="71">
        <v>1.0584000000000037E-4</v>
      </c>
      <c r="X319" s="70">
        <v>0.126</v>
      </c>
      <c r="Y319" s="70">
        <v>0.1008</v>
      </c>
      <c r="Z319" s="70">
        <v>0.1512</v>
      </c>
      <c r="AA319" s="70">
        <v>1.0584000000000037E-4</v>
      </c>
      <c r="AB319" s="71">
        <v>0.126</v>
      </c>
      <c r="AC319" s="71">
        <v>0.1008</v>
      </c>
      <c r="AD319" s="71">
        <v>0.1512</v>
      </c>
      <c r="AE319" s="71">
        <v>1.0584000000000037E-4</v>
      </c>
      <c r="AF319" s="70">
        <v>0.126</v>
      </c>
      <c r="AG319" s="70">
        <v>0.1008</v>
      </c>
      <c r="AH319" s="70">
        <v>0.1512</v>
      </c>
      <c r="AI319" s="70">
        <v>1.0584000000000037E-4</v>
      </c>
      <c r="AJ319" s="72" t="s">
        <v>478</v>
      </c>
    </row>
    <row r="320" spans="1:36" customFormat="1" x14ac:dyDescent="0.25">
      <c r="A320" s="68">
        <v>313</v>
      </c>
      <c r="B320" s="69" t="s">
        <v>238</v>
      </c>
      <c r="C320" s="69" t="s">
        <v>803</v>
      </c>
      <c r="D320" s="69" t="s">
        <v>806</v>
      </c>
      <c r="E320" s="69" t="s">
        <v>807</v>
      </c>
      <c r="F320" s="69" t="s">
        <v>744</v>
      </c>
      <c r="G320" s="69" t="s">
        <v>237</v>
      </c>
      <c r="H320" s="70">
        <v>6.0172049999999998E-2</v>
      </c>
      <c r="I320" s="70">
        <v>4.8137639999999995E-2</v>
      </c>
      <c r="J320" s="70">
        <v>7.220646E-2</v>
      </c>
      <c r="K320" s="70">
        <v>2.4137837341350028E-5</v>
      </c>
      <c r="L320" s="71">
        <v>6.0172049999999998E-2</v>
      </c>
      <c r="M320" s="71">
        <v>4.8137639999999995E-2</v>
      </c>
      <c r="N320" s="71">
        <v>7.220646E-2</v>
      </c>
      <c r="O320" s="71">
        <v>2.4137837341350028E-5</v>
      </c>
      <c r="P320" s="70">
        <v>6.0172049999999998E-2</v>
      </c>
      <c r="Q320" s="70">
        <v>4.8137639999999995E-2</v>
      </c>
      <c r="R320" s="70">
        <v>7.220646E-2</v>
      </c>
      <c r="S320" s="70">
        <v>2.4137837341350028E-5</v>
      </c>
      <c r="T320" s="71">
        <v>6.0172049999999998E-2</v>
      </c>
      <c r="U320" s="71">
        <v>4.8137639999999995E-2</v>
      </c>
      <c r="V320" s="71">
        <v>7.220646E-2</v>
      </c>
      <c r="W320" s="71">
        <v>2.4137837341350028E-5</v>
      </c>
      <c r="X320" s="70">
        <v>6.0172049999999998E-2</v>
      </c>
      <c r="Y320" s="70">
        <v>4.8137639999999995E-2</v>
      </c>
      <c r="Z320" s="70">
        <v>7.220646E-2</v>
      </c>
      <c r="AA320" s="70">
        <v>2.4137837341350028E-5</v>
      </c>
      <c r="AB320" s="71">
        <v>6.0172049999999998E-2</v>
      </c>
      <c r="AC320" s="71">
        <v>4.8137639999999995E-2</v>
      </c>
      <c r="AD320" s="71">
        <v>7.220646E-2</v>
      </c>
      <c r="AE320" s="71">
        <v>2.4137837341350028E-5</v>
      </c>
      <c r="AF320" s="70">
        <v>6.0172049999999998E-2</v>
      </c>
      <c r="AG320" s="70">
        <v>4.8137639999999995E-2</v>
      </c>
      <c r="AH320" s="70">
        <v>7.220646E-2</v>
      </c>
      <c r="AI320" s="70">
        <v>2.4137837341350028E-5</v>
      </c>
      <c r="AJ320" s="72" t="s">
        <v>478</v>
      </c>
    </row>
    <row r="321" spans="1:36" customFormat="1" x14ac:dyDescent="0.25">
      <c r="A321" s="68">
        <v>314</v>
      </c>
      <c r="B321" s="69" t="s">
        <v>238</v>
      </c>
      <c r="C321" s="69" t="s">
        <v>803</v>
      </c>
      <c r="D321" s="69" t="s">
        <v>808</v>
      </c>
      <c r="E321" s="69" t="s">
        <v>809</v>
      </c>
      <c r="F321" s="69" t="s">
        <v>744</v>
      </c>
      <c r="G321" s="69" t="s">
        <v>237</v>
      </c>
      <c r="H321" s="70">
        <v>0.13</v>
      </c>
      <c r="I321" s="70">
        <v>0.10400000000000001</v>
      </c>
      <c r="J321" s="70">
        <v>0.156</v>
      </c>
      <c r="K321" s="70">
        <v>1.1266666666666639E-4</v>
      </c>
      <c r="L321" s="71">
        <v>0.13</v>
      </c>
      <c r="M321" s="71">
        <v>0.10400000000000001</v>
      </c>
      <c r="N321" s="71">
        <v>0.156</v>
      </c>
      <c r="O321" s="71">
        <v>1.1266666666666639E-4</v>
      </c>
      <c r="P321" s="70">
        <v>0.13</v>
      </c>
      <c r="Q321" s="70">
        <v>0.10400000000000001</v>
      </c>
      <c r="R321" s="70">
        <v>0.156</v>
      </c>
      <c r="S321" s="70">
        <v>1.1266666666666639E-4</v>
      </c>
      <c r="T321" s="71">
        <v>0.13</v>
      </c>
      <c r="U321" s="71">
        <v>0.10400000000000001</v>
      </c>
      <c r="V321" s="71">
        <v>0.156</v>
      </c>
      <c r="W321" s="71">
        <v>1.1266666666666639E-4</v>
      </c>
      <c r="X321" s="70">
        <v>0.13</v>
      </c>
      <c r="Y321" s="70">
        <v>0.10400000000000001</v>
      </c>
      <c r="Z321" s="70">
        <v>0.156</v>
      </c>
      <c r="AA321" s="70">
        <v>1.1266666666666639E-4</v>
      </c>
      <c r="AB321" s="71">
        <v>0.13</v>
      </c>
      <c r="AC321" s="71">
        <v>0.10400000000000001</v>
      </c>
      <c r="AD321" s="71">
        <v>0.156</v>
      </c>
      <c r="AE321" s="71">
        <v>1.1266666666666639E-4</v>
      </c>
      <c r="AF321" s="70">
        <v>0.13</v>
      </c>
      <c r="AG321" s="70">
        <v>0.10400000000000001</v>
      </c>
      <c r="AH321" s="70">
        <v>0.156</v>
      </c>
      <c r="AI321" s="70">
        <v>1.1266666666666639E-4</v>
      </c>
      <c r="AJ321" s="72" t="s">
        <v>478</v>
      </c>
    </row>
    <row r="322" spans="1:36" customFormat="1" x14ac:dyDescent="0.25">
      <c r="A322" s="68">
        <v>315</v>
      </c>
      <c r="B322" s="69" t="s">
        <v>238</v>
      </c>
      <c r="C322" s="69" t="s">
        <v>803</v>
      </c>
      <c r="D322" s="69" t="s">
        <v>810</v>
      </c>
      <c r="E322" s="69" t="s">
        <v>811</v>
      </c>
      <c r="F322" s="69" t="s">
        <v>744</v>
      </c>
      <c r="G322" s="69" t="s">
        <v>237</v>
      </c>
      <c r="H322" s="70">
        <v>0.11184729999999998</v>
      </c>
      <c r="I322" s="70">
        <v>8.9477839999999989E-2</v>
      </c>
      <c r="J322" s="70">
        <v>0.13421675999999999</v>
      </c>
      <c r="K322" s="70">
        <v>8.3398790115266864E-5</v>
      </c>
      <c r="L322" s="71">
        <v>0.11184729999999998</v>
      </c>
      <c r="M322" s="71">
        <v>8.9477839999999989E-2</v>
      </c>
      <c r="N322" s="71">
        <v>0.13421675999999999</v>
      </c>
      <c r="O322" s="71">
        <v>8.3398790115266864E-5</v>
      </c>
      <c r="P322" s="70">
        <v>0.11184729999999998</v>
      </c>
      <c r="Q322" s="70">
        <v>8.9477839999999989E-2</v>
      </c>
      <c r="R322" s="70">
        <v>0.13421675999999999</v>
      </c>
      <c r="S322" s="70">
        <v>8.3398790115266864E-5</v>
      </c>
      <c r="T322" s="71">
        <v>0.11184729999999998</v>
      </c>
      <c r="U322" s="71">
        <v>8.9477839999999989E-2</v>
      </c>
      <c r="V322" s="71">
        <v>0.13421675999999999</v>
      </c>
      <c r="W322" s="71">
        <v>8.3398790115266864E-5</v>
      </c>
      <c r="X322" s="70">
        <v>0.11184729999999998</v>
      </c>
      <c r="Y322" s="70">
        <v>8.9477839999999989E-2</v>
      </c>
      <c r="Z322" s="70">
        <v>0.13421675999999999</v>
      </c>
      <c r="AA322" s="70">
        <v>8.3398790115266864E-5</v>
      </c>
      <c r="AB322" s="71">
        <v>0.11184729999999998</v>
      </c>
      <c r="AC322" s="71">
        <v>8.9477839999999989E-2</v>
      </c>
      <c r="AD322" s="71">
        <v>0.13421675999999999</v>
      </c>
      <c r="AE322" s="71">
        <v>8.3398790115266864E-5</v>
      </c>
      <c r="AF322" s="70">
        <v>0.11184729999999998</v>
      </c>
      <c r="AG322" s="70">
        <v>8.9477839999999989E-2</v>
      </c>
      <c r="AH322" s="70">
        <v>0.13421675999999999</v>
      </c>
      <c r="AI322" s="70">
        <v>8.3398790115266864E-5</v>
      </c>
      <c r="AJ322" s="72" t="s">
        <v>478</v>
      </c>
    </row>
    <row r="323" spans="1:36" customFormat="1" x14ac:dyDescent="0.25">
      <c r="A323" s="68">
        <v>316</v>
      </c>
      <c r="B323" s="69" t="s">
        <v>238</v>
      </c>
      <c r="C323" s="69" t="s">
        <v>803</v>
      </c>
      <c r="D323" s="69" t="s">
        <v>812</v>
      </c>
      <c r="E323" s="69" t="s">
        <v>812</v>
      </c>
      <c r="F323" s="69" t="s">
        <v>744</v>
      </c>
      <c r="G323" s="69" t="s">
        <v>237</v>
      </c>
      <c r="H323" s="70">
        <v>0</v>
      </c>
      <c r="I323" s="70">
        <v>0</v>
      </c>
      <c r="J323" s="70">
        <v>0</v>
      </c>
      <c r="K323" s="70">
        <v>0</v>
      </c>
      <c r="L323" s="71">
        <v>0</v>
      </c>
      <c r="M323" s="71">
        <v>0</v>
      </c>
      <c r="N323" s="71">
        <v>0</v>
      </c>
      <c r="O323" s="71">
        <v>0</v>
      </c>
      <c r="P323" s="70">
        <v>0</v>
      </c>
      <c r="Q323" s="70">
        <v>0</v>
      </c>
      <c r="R323" s="70">
        <v>0</v>
      </c>
      <c r="S323" s="70">
        <v>0</v>
      </c>
      <c r="T323" s="71">
        <v>0</v>
      </c>
      <c r="U323" s="71">
        <v>0</v>
      </c>
      <c r="V323" s="71">
        <v>0</v>
      </c>
      <c r="W323" s="71">
        <v>0</v>
      </c>
      <c r="X323" s="70">
        <v>1.2</v>
      </c>
      <c r="Y323" s="70">
        <v>0.16</v>
      </c>
      <c r="Z323" s="70">
        <v>0.24000000000000002</v>
      </c>
      <c r="AA323" s="70">
        <v>5.5822222222222218E-2</v>
      </c>
      <c r="AB323" s="71">
        <v>0</v>
      </c>
      <c r="AC323" s="71">
        <v>0</v>
      </c>
      <c r="AD323" s="71">
        <v>0</v>
      </c>
      <c r="AE323" s="71">
        <v>0</v>
      </c>
      <c r="AF323" s="70">
        <v>0.2</v>
      </c>
      <c r="AG323" s="70">
        <v>0.16</v>
      </c>
      <c r="AH323" s="70">
        <v>0.24000000000000002</v>
      </c>
      <c r="AI323" s="70">
        <v>2.6666666666666695E-4</v>
      </c>
      <c r="AJ323" s="72" t="s">
        <v>478</v>
      </c>
    </row>
    <row r="324" spans="1:36" customFormat="1" x14ac:dyDescent="0.25">
      <c r="A324" s="68">
        <v>317</v>
      </c>
      <c r="B324" s="69" t="s">
        <v>238</v>
      </c>
      <c r="C324" s="69" t="s">
        <v>803</v>
      </c>
      <c r="D324" s="69" t="s">
        <v>813</v>
      </c>
      <c r="E324" s="69" t="s">
        <v>840</v>
      </c>
      <c r="F324" s="69" t="s">
        <v>744</v>
      </c>
      <c r="G324" s="69" t="s">
        <v>237</v>
      </c>
      <c r="H324" s="70">
        <v>9.0670000000000001E-2</v>
      </c>
      <c r="I324" s="70">
        <v>7.2536000000000003E-2</v>
      </c>
      <c r="J324" s="70">
        <v>0.108804</v>
      </c>
      <c r="K324" s="70">
        <v>5.4806992666666677E-5</v>
      </c>
      <c r="L324" s="71">
        <v>9.0670000000000001E-2</v>
      </c>
      <c r="M324" s="71">
        <v>7.2536000000000003E-2</v>
      </c>
      <c r="N324" s="71">
        <v>0.108804</v>
      </c>
      <c r="O324" s="71">
        <v>5.4806992666666677E-5</v>
      </c>
      <c r="P324" s="70">
        <v>9.0670000000000001E-2</v>
      </c>
      <c r="Q324" s="70">
        <v>7.2536000000000003E-2</v>
      </c>
      <c r="R324" s="70">
        <v>0.108804</v>
      </c>
      <c r="S324" s="70">
        <v>5.4806992666666677E-5</v>
      </c>
      <c r="T324" s="71">
        <v>9.0670000000000001E-2</v>
      </c>
      <c r="U324" s="71">
        <v>7.2536000000000003E-2</v>
      </c>
      <c r="V324" s="71">
        <v>0.108804</v>
      </c>
      <c r="W324" s="71">
        <v>5.4806992666666677E-5</v>
      </c>
      <c r="X324" s="70">
        <v>9.0670000000000001E-2</v>
      </c>
      <c r="Y324" s="70">
        <v>7.2536000000000003E-2</v>
      </c>
      <c r="Z324" s="70">
        <v>0.108804</v>
      </c>
      <c r="AA324" s="70">
        <v>5.4806992666666677E-5</v>
      </c>
      <c r="AB324" s="71">
        <v>9.0670000000000001E-2</v>
      </c>
      <c r="AC324" s="71">
        <v>7.2536000000000003E-2</v>
      </c>
      <c r="AD324" s="71">
        <v>0.108804</v>
      </c>
      <c r="AE324" s="71">
        <v>5.4806992666666677E-5</v>
      </c>
      <c r="AF324" s="70">
        <v>9.0670000000000001E-2</v>
      </c>
      <c r="AG324" s="70">
        <v>7.2536000000000003E-2</v>
      </c>
      <c r="AH324" s="70">
        <v>0.108804</v>
      </c>
      <c r="AI324" s="70">
        <v>5.4806992666666677E-5</v>
      </c>
      <c r="AJ324" s="72" t="s">
        <v>478</v>
      </c>
    </row>
    <row r="325" spans="1:36" customFormat="1" x14ac:dyDescent="0.25">
      <c r="A325" s="68">
        <v>318</v>
      </c>
      <c r="B325" s="69" t="s">
        <v>238</v>
      </c>
      <c r="C325" s="69" t="s">
        <v>803</v>
      </c>
      <c r="D325" s="69" t="s">
        <v>814</v>
      </c>
      <c r="E325" s="69" t="s">
        <v>841</v>
      </c>
      <c r="F325" s="69" t="s">
        <v>744</v>
      </c>
      <c r="G325" s="69" t="s">
        <v>237</v>
      </c>
      <c r="H325" s="70">
        <v>1.9607999999999997E-2</v>
      </c>
      <c r="I325" s="70">
        <v>1.5686399999999996E-2</v>
      </c>
      <c r="J325" s="70">
        <v>2.3529599999999998E-2</v>
      </c>
      <c r="K325" s="70">
        <v>2.5631577599999919E-6</v>
      </c>
      <c r="L325" s="71">
        <v>1.9607999999999997E-2</v>
      </c>
      <c r="M325" s="71">
        <v>1.5686399999999996E-2</v>
      </c>
      <c r="N325" s="71">
        <v>2.3529599999999998E-2</v>
      </c>
      <c r="O325" s="71">
        <v>2.5631577599999919E-6</v>
      </c>
      <c r="P325" s="70">
        <v>1.9607999999999997E-2</v>
      </c>
      <c r="Q325" s="70">
        <v>1.5686399999999996E-2</v>
      </c>
      <c r="R325" s="70">
        <v>2.3529599999999998E-2</v>
      </c>
      <c r="S325" s="70">
        <v>2.5631577599999919E-6</v>
      </c>
      <c r="T325" s="71">
        <v>1.9607999999999997E-2</v>
      </c>
      <c r="U325" s="71">
        <v>1.5686399999999996E-2</v>
      </c>
      <c r="V325" s="71">
        <v>2.3529599999999998E-2</v>
      </c>
      <c r="W325" s="71">
        <v>2.5631577599999919E-6</v>
      </c>
      <c r="X325" s="70">
        <v>1.9607999999999997E-2</v>
      </c>
      <c r="Y325" s="70">
        <v>1.5686399999999996E-2</v>
      </c>
      <c r="Z325" s="70">
        <v>2.3529599999999998E-2</v>
      </c>
      <c r="AA325" s="70">
        <v>2.5631577599999919E-6</v>
      </c>
      <c r="AB325" s="71">
        <v>1.9607999999999997E-2</v>
      </c>
      <c r="AC325" s="71">
        <v>1.5686399999999996E-2</v>
      </c>
      <c r="AD325" s="71">
        <v>2.3529599999999998E-2</v>
      </c>
      <c r="AE325" s="71">
        <v>2.5631577599999919E-6</v>
      </c>
      <c r="AF325" s="70">
        <v>1.9607999999999997E-2</v>
      </c>
      <c r="AG325" s="70">
        <v>1.5686399999999996E-2</v>
      </c>
      <c r="AH325" s="70">
        <v>2.3529599999999998E-2</v>
      </c>
      <c r="AI325" s="70">
        <v>2.5631577599999919E-6</v>
      </c>
      <c r="AJ325" s="72" t="s">
        <v>478</v>
      </c>
    </row>
    <row r="326" spans="1:36" customFormat="1" x14ac:dyDescent="0.25">
      <c r="A326" s="68">
        <v>319</v>
      </c>
      <c r="B326" s="69" t="s">
        <v>238</v>
      </c>
      <c r="C326" s="69" t="s">
        <v>803</v>
      </c>
      <c r="D326" s="69" t="s">
        <v>815</v>
      </c>
      <c r="E326" s="69" t="s">
        <v>839</v>
      </c>
      <c r="F326" s="69" t="s">
        <v>744</v>
      </c>
      <c r="G326" s="69" t="s">
        <v>237</v>
      </c>
      <c r="H326" s="70">
        <v>0.13</v>
      </c>
      <c r="I326" s="70">
        <v>0.10400000000000001</v>
      </c>
      <c r="J326" s="70">
        <v>0.156</v>
      </c>
      <c r="K326" s="70">
        <v>1.1266666666666639E-4</v>
      </c>
      <c r="L326" s="71">
        <v>0.13</v>
      </c>
      <c r="M326" s="71">
        <v>0.10400000000000001</v>
      </c>
      <c r="N326" s="71">
        <v>0.156</v>
      </c>
      <c r="O326" s="71">
        <v>1.1266666666666639E-4</v>
      </c>
      <c r="P326" s="70">
        <v>0.13</v>
      </c>
      <c r="Q326" s="70">
        <v>0.10400000000000001</v>
      </c>
      <c r="R326" s="70">
        <v>0.156</v>
      </c>
      <c r="S326" s="70">
        <v>1.1266666666666639E-4</v>
      </c>
      <c r="T326" s="71">
        <v>0.13</v>
      </c>
      <c r="U326" s="71">
        <v>0.10400000000000001</v>
      </c>
      <c r="V326" s="71">
        <v>0.156</v>
      </c>
      <c r="W326" s="71">
        <v>1.1266666666666639E-4</v>
      </c>
      <c r="X326" s="70">
        <v>0.13</v>
      </c>
      <c r="Y326" s="70">
        <v>0.10400000000000001</v>
      </c>
      <c r="Z326" s="70">
        <v>0.156</v>
      </c>
      <c r="AA326" s="70">
        <v>1.1266666666666639E-4</v>
      </c>
      <c r="AB326" s="71">
        <v>0.13</v>
      </c>
      <c r="AC326" s="71">
        <v>0.10400000000000001</v>
      </c>
      <c r="AD326" s="71">
        <v>0.156</v>
      </c>
      <c r="AE326" s="71">
        <v>1.1266666666666639E-4</v>
      </c>
      <c r="AF326" s="70">
        <v>0.13</v>
      </c>
      <c r="AG326" s="70">
        <v>0.10400000000000001</v>
      </c>
      <c r="AH326" s="70">
        <v>0.156</v>
      </c>
      <c r="AI326" s="70">
        <v>1.1266666666666639E-4</v>
      </c>
      <c r="AJ326" s="72" t="s">
        <v>478</v>
      </c>
    </row>
    <row r="327" spans="1:36" customFormat="1" x14ac:dyDescent="0.25">
      <c r="A327" s="68">
        <v>320</v>
      </c>
      <c r="B327" s="69" t="s">
        <v>238</v>
      </c>
      <c r="C327" s="69" t="s">
        <v>803</v>
      </c>
      <c r="D327" s="69" t="s">
        <v>875</v>
      </c>
      <c r="E327" s="69" t="s">
        <v>876</v>
      </c>
      <c r="F327" s="69" t="s">
        <v>877</v>
      </c>
      <c r="G327" s="69" t="s">
        <v>237</v>
      </c>
      <c r="H327" s="70">
        <v>26.506799999999998</v>
      </c>
      <c r="I327" s="70">
        <v>21.205439999999999</v>
      </c>
      <c r="J327" s="70">
        <v>31.808159999999997</v>
      </c>
      <c r="K327" s="70">
        <v>4.6840696415999838</v>
      </c>
      <c r="L327" s="71">
        <v>26.506799999999998</v>
      </c>
      <c r="M327" s="71">
        <v>21.205439999999999</v>
      </c>
      <c r="N327" s="71">
        <v>31.808159999999997</v>
      </c>
      <c r="O327" s="71">
        <v>4.6840696415999838</v>
      </c>
      <c r="P327" s="70">
        <v>26.506799999999998</v>
      </c>
      <c r="Q327" s="70">
        <v>21.205439999999999</v>
      </c>
      <c r="R327" s="70">
        <v>31.808159999999997</v>
      </c>
      <c r="S327" s="70">
        <v>4.6840696415999838</v>
      </c>
      <c r="T327" s="71">
        <v>26.506799999999998</v>
      </c>
      <c r="U327" s="71">
        <v>21.205439999999999</v>
      </c>
      <c r="V327" s="71">
        <v>31.808159999999997</v>
      </c>
      <c r="W327" s="71">
        <v>4.6840696415999838</v>
      </c>
      <c r="X327" s="70">
        <v>26.506799999999998</v>
      </c>
      <c r="Y327" s="70">
        <v>21.205439999999999</v>
      </c>
      <c r="Z327" s="70">
        <v>31.808159999999997</v>
      </c>
      <c r="AA327" s="70">
        <v>4.6840696415999838</v>
      </c>
      <c r="AB327" s="71">
        <v>26.506799999999998</v>
      </c>
      <c r="AC327" s="71">
        <v>21.205439999999999</v>
      </c>
      <c r="AD327" s="71">
        <v>31.808159999999997</v>
      </c>
      <c r="AE327" s="71">
        <v>4.6840696415999838</v>
      </c>
      <c r="AF327" s="70">
        <v>26.506799999999998</v>
      </c>
      <c r="AG327" s="70">
        <v>21.205439999999999</v>
      </c>
      <c r="AH327" s="70">
        <v>31.808159999999997</v>
      </c>
      <c r="AI327" s="70">
        <v>4.6840696415999838</v>
      </c>
      <c r="AJ327" s="72" t="s">
        <v>478</v>
      </c>
    </row>
    <row r="328" spans="1:36" customFormat="1" x14ac:dyDescent="0.25">
      <c r="A328" s="68">
        <v>321</v>
      </c>
      <c r="B328" s="69" t="s">
        <v>238</v>
      </c>
      <c r="C328" s="69" t="s">
        <v>803</v>
      </c>
      <c r="D328" s="69" t="s">
        <v>878</v>
      </c>
      <c r="E328" s="69" t="s">
        <v>879</v>
      </c>
      <c r="F328" s="69" t="s">
        <v>877</v>
      </c>
      <c r="G328" s="69" t="s">
        <v>237</v>
      </c>
      <c r="H328" s="70">
        <v>6.7931999999999988</v>
      </c>
      <c r="I328" s="70">
        <v>5.4345599999999994</v>
      </c>
      <c r="J328" s="70">
        <v>8.1518399999999982</v>
      </c>
      <c r="K328" s="70">
        <v>0.30765044159999905</v>
      </c>
      <c r="L328" s="71">
        <v>6.7931999999999988</v>
      </c>
      <c r="M328" s="71">
        <v>5.4345599999999994</v>
      </c>
      <c r="N328" s="71">
        <v>8.1518399999999982</v>
      </c>
      <c r="O328" s="71">
        <v>0.30765044159999905</v>
      </c>
      <c r="P328" s="70">
        <v>6.7931999999999988</v>
      </c>
      <c r="Q328" s="70">
        <v>5.4345599999999994</v>
      </c>
      <c r="R328" s="70">
        <v>8.1518399999999982</v>
      </c>
      <c r="S328" s="70">
        <v>0.30765044159999905</v>
      </c>
      <c r="T328" s="71">
        <v>6.7931999999999988</v>
      </c>
      <c r="U328" s="71">
        <v>5.4345599999999994</v>
      </c>
      <c r="V328" s="71">
        <v>8.1518399999999982</v>
      </c>
      <c r="W328" s="71">
        <v>0.30765044159999905</v>
      </c>
      <c r="X328" s="70">
        <v>6.7931999999999988</v>
      </c>
      <c r="Y328" s="70">
        <v>5.4345599999999994</v>
      </c>
      <c r="Z328" s="70">
        <v>8.1518399999999982</v>
      </c>
      <c r="AA328" s="70">
        <v>0.30765044159999905</v>
      </c>
      <c r="AB328" s="71">
        <v>6.7931999999999988</v>
      </c>
      <c r="AC328" s="71">
        <v>5.4345599999999994</v>
      </c>
      <c r="AD328" s="71">
        <v>8.1518399999999982</v>
      </c>
      <c r="AE328" s="71">
        <v>0.30765044159999905</v>
      </c>
      <c r="AF328" s="70">
        <v>6.7931999999999988</v>
      </c>
      <c r="AG328" s="70">
        <v>5.4345599999999994</v>
      </c>
      <c r="AH328" s="70">
        <v>8.1518399999999982</v>
      </c>
      <c r="AI328" s="70">
        <v>0.30765044159999905</v>
      </c>
      <c r="AJ328" s="72" t="s">
        <v>478</v>
      </c>
    </row>
    <row r="329" spans="1:36" customFormat="1" x14ac:dyDescent="0.25">
      <c r="A329" s="68">
        <v>322</v>
      </c>
      <c r="B329" s="69" t="s">
        <v>273</v>
      </c>
      <c r="C329" s="69" t="s">
        <v>273</v>
      </c>
      <c r="D329" s="69" t="s">
        <v>816</v>
      </c>
      <c r="E329" s="69" t="s">
        <v>895</v>
      </c>
      <c r="F329" s="69" t="s">
        <v>739</v>
      </c>
      <c r="G329" s="69" t="s">
        <v>237</v>
      </c>
      <c r="H329" s="70">
        <v>54377.450114422325</v>
      </c>
      <c r="I329" s="70">
        <v>43501.960091537861</v>
      </c>
      <c r="J329" s="70">
        <v>65252.940137306789</v>
      </c>
      <c r="K329" s="70">
        <v>19712713.87297662</v>
      </c>
      <c r="L329" s="71">
        <v>54377.450114422325</v>
      </c>
      <c r="M329" s="71">
        <v>43501.960091537861</v>
      </c>
      <c r="N329" s="71">
        <v>65252.940137306789</v>
      </c>
      <c r="O329" s="71">
        <v>19712713.87297662</v>
      </c>
      <c r="P329" s="70">
        <v>54377.450114422325</v>
      </c>
      <c r="Q329" s="70">
        <v>43501.960091537861</v>
      </c>
      <c r="R329" s="70">
        <v>65252.940137306789</v>
      </c>
      <c r="S329" s="70">
        <v>19712713.87297662</v>
      </c>
      <c r="T329" s="71">
        <v>54377.450114422325</v>
      </c>
      <c r="U329" s="71">
        <v>43501.960091537861</v>
      </c>
      <c r="V329" s="71">
        <v>65252.940137306789</v>
      </c>
      <c r="W329" s="71">
        <v>19712713.87297662</v>
      </c>
      <c r="X329" s="70">
        <v>54377.450114422325</v>
      </c>
      <c r="Y329" s="70">
        <v>43501.960091537861</v>
      </c>
      <c r="Z329" s="70">
        <v>65252.940137306789</v>
      </c>
      <c r="AA329" s="70">
        <v>19712713.87297662</v>
      </c>
      <c r="AB329" s="71">
        <v>54377.450114422325</v>
      </c>
      <c r="AC329" s="71">
        <v>43501.960091537861</v>
      </c>
      <c r="AD329" s="71">
        <v>65252.940137306789</v>
      </c>
      <c r="AE329" s="71">
        <v>19712713.87297662</v>
      </c>
      <c r="AF329" s="70">
        <v>54377.450114422325</v>
      </c>
      <c r="AG329" s="70">
        <v>43501.960091537861</v>
      </c>
      <c r="AH329" s="70">
        <v>65252.940137306789</v>
      </c>
      <c r="AI329" s="70">
        <v>19712713.87297662</v>
      </c>
      <c r="AJ329" s="72" t="s">
        <v>478</v>
      </c>
    </row>
    <row r="330" spans="1:36" customFormat="1" x14ac:dyDescent="0.25">
      <c r="A330" s="68">
        <v>323</v>
      </c>
      <c r="B330" s="69" t="s">
        <v>273</v>
      </c>
      <c r="C330" s="69" t="s">
        <v>273</v>
      </c>
      <c r="D330" s="69" t="s">
        <v>817</v>
      </c>
      <c r="E330" s="69" t="s">
        <v>868</v>
      </c>
      <c r="F330" s="69" t="s">
        <v>739</v>
      </c>
      <c r="G330" s="69" t="s">
        <v>237</v>
      </c>
      <c r="H330" s="70">
        <v>3863.9999999999995</v>
      </c>
      <c r="I330" s="70">
        <v>3091.2</v>
      </c>
      <c r="J330" s="70">
        <v>4636.7999999999993</v>
      </c>
      <c r="K330" s="70">
        <v>99536.640000000174</v>
      </c>
      <c r="L330" s="71">
        <v>3863.9999999999995</v>
      </c>
      <c r="M330" s="71">
        <v>3091.2</v>
      </c>
      <c r="N330" s="71">
        <v>4636.7999999999993</v>
      </c>
      <c r="O330" s="71">
        <v>99536.640000000174</v>
      </c>
      <c r="P330" s="70">
        <v>3863.9999999999995</v>
      </c>
      <c r="Q330" s="70">
        <v>3091.2</v>
      </c>
      <c r="R330" s="70">
        <v>4636.7999999999993</v>
      </c>
      <c r="S330" s="70">
        <v>99536.640000000174</v>
      </c>
      <c r="T330" s="71">
        <v>3863.9999999999995</v>
      </c>
      <c r="U330" s="71">
        <v>3091.2</v>
      </c>
      <c r="V330" s="71">
        <v>4636.7999999999993</v>
      </c>
      <c r="W330" s="71">
        <v>99536.640000000174</v>
      </c>
      <c r="X330" s="70">
        <v>3863.9999999999995</v>
      </c>
      <c r="Y330" s="70">
        <v>3091.2</v>
      </c>
      <c r="Z330" s="70">
        <v>4636.7999999999993</v>
      </c>
      <c r="AA330" s="70">
        <v>99536.640000000174</v>
      </c>
      <c r="AB330" s="71">
        <v>3863.9999999999995</v>
      </c>
      <c r="AC330" s="71">
        <v>3091.2</v>
      </c>
      <c r="AD330" s="71">
        <v>4636.7999999999993</v>
      </c>
      <c r="AE330" s="71">
        <v>99536.640000000174</v>
      </c>
      <c r="AF330" s="70">
        <v>3863.9999999999995</v>
      </c>
      <c r="AG330" s="70">
        <v>3091.2</v>
      </c>
      <c r="AH330" s="70">
        <v>4636.7999999999993</v>
      </c>
      <c r="AI330" s="70">
        <v>99536.640000000174</v>
      </c>
      <c r="AJ330" s="72" t="s">
        <v>478</v>
      </c>
    </row>
    <row r="331" spans="1:36" x14ac:dyDescent="0.25">
      <c r="A331" s="68">
        <v>324</v>
      </c>
      <c r="B331" s="69" t="s">
        <v>273</v>
      </c>
      <c r="C331" s="69" t="s">
        <v>273</v>
      </c>
      <c r="D331" s="69" t="s">
        <v>818</v>
      </c>
      <c r="E331" s="69" t="s">
        <v>869</v>
      </c>
      <c r="F331" s="69" t="s">
        <v>739</v>
      </c>
      <c r="G331" s="69" t="s">
        <v>237</v>
      </c>
      <c r="H331" s="70">
        <v>46678.846153846163</v>
      </c>
      <c r="I331" s="70">
        <v>37343.076923076929</v>
      </c>
      <c r="J331" s="70">
        <v>56014.615384615397</v>
      </c>
      <c r="K331" s="70">
        <v>14526097.855029661</v>
      </c>
      <c r="L331" s="71">
        <v>46678.846153846163</v>
      </c>
      <c r="M331" s="71">
        <v>37343.076923076929</v>
      </c>
      <c r="N331" s="71">
        <v>56014.615384615397</v>
      </c>
      <c r="O331" s="71">
        <v>14526097.855029661</v>
      </c>
      <c r="P331" s="70">
        <v>46678.846153846163</v>
      </c>
      <c r="Q331" s="70">
        <v>37343.076923076929</v>
      </c>
      <c r="R331" s="70">
        <v>56014.615384615397</v>
      </c>
      <c r="S331" s="70">
        <v>14526097.855029661</v>
      </c>
      <c r="T331" s="71">
        <v>46678.846153846163</v>
      </c>
      <c r="U331" s="71">
        <v>37343.076923076929</v>
      </c>
      <c r="V331" s="71">
        <v>56014.615384615397</v>
      </c>
      <c r="W331" s="71">
        <v>14526097.855029661</v>
      </c>
      <c r="X331" s="70">
        <v>46678.846153846163</v>
      </c>
      <c r="Y331" s="70">
        <v>37343.076923076929</v>
      </c>
      <c r="Z331" s="70">
        <v>56014.615384615397</v>
      </c>
      <c r="AA331" s="70">
        <v>14526097.855029661</v>
      </c>
      <c r="AB331" s="71">
        <v>46678.846153846163</v>
      </c>
      <c r="AC331" s="71">
        <v>37343.076923076929</v>
      </c>
      <c r="AD331" s="71">
        <v>56014.615384615397</v>
      </c>
      <c r="AE331" s="71">
        <v>14526097.855029661</v>
      </c>
      <c r="AF331" s="70">
        <v>46678.846153846163</v>
      </c>
      <c r="AG331" s="70">
        <v>37343.076923076929</v>
      </c>
      <c r="AH331" s="70">
        <v>56014.615384615397</v>
      </c>
      <c r="AI331" s="70">
        <v>14526097.855029661</v>
      </c>
      <c r="AJ331" s="72" t="s">
        <v>478</v>
      </c>
    </row>
    <row r="332" spans="1:36" x14ac:dyDescent="0.25">
      <c r="A332" s="68">
        <v>325</v>
      </c>
      <c r="B332" s="69" t="s">
        <v>273</v>
      </c>
      <c r="C332" s="69" t="s">
        <v>273</v>
      </c>
      <c r="D332" s="69" t="s">
        <v>870</v>
      </c>
      <c r="E332" s="69" t="s">
        <v>871</v>
      </c>
      <c r="F332" s="69" t="s">
        <v>872</v>
      </c>
      <c r="G332" s="69" t="s">
        <v>237</v>
      </c>
      <c r="H332" s="70">
        <v>0.45400000000000001</v>
      </c>
      <c r="I332" s="70">
        <v>0.36320000000000002</v>
      </c>
      <c r="J332" s="70">
        <v>0.54480000000000006</v>
      </c>
      <c r="K332" s="70">
        <v>1.3741066666666708E-3</v>
      </c>
      <c r="L332" s="71">
        <v>0.45400000000000001</v>
      </c>
      <c r="M332" s="71">
        <v>0.36320000000000002</v>
      </c>
      <c r="N332" s="71">
        <v>0.54480000000000006</v>
      </c>
      <c r="O332" s="71">
        <v>1.3741066666666708E-3</v>
      </c>
      <c r="P332" s="70">
        <v>0.45400000000000001</v>
      </c>
      <c r="Q332" s="70">
        <v>0.36320000000000002</v>
      </c>
      <c r="R332" s="70">
        <v>0.54480000000000006</v>
      </c>
      <c r="S332" s="70">
        <v>1.3741066666666708E-3</v>
      </c>
      <c r="T332" s="71">
        <v>0.45400000000000001</v>
      </c>
      <c r="U332" s="71">
        <v>0.36320000000000002</v>
      </c>
      <c r="V332" s="71">
        <v>0.54480000000000006</v>
      </c>
      <c r="W332" s="71">
        <v>1.3741066666666708E-3</v>
      </c>
      <c r="X332" s="70">
        <v>0.45400000000000001</v>
      </c>
      <c r="Y332" s="70">
        <v>0.36320000000000002</v>
      </c>
      <c r="Z332" s="70">
        <v>0.54480000000000006</v>
      </c>
      <c r="AA332" s="70">
        <v>1.3741066666666708E-3</v>
      </c>
      <c r="AB332" s="71">
        <v>0.45400000000000001</v>
      </c>
      <c r="AC332" s="71">
        <v>0.36320000000000002</v>
      </c>
      <c r="AD332" s="71">
        <v>0.54480000000000006</v>
      </c>
      <c r="AE332" s="71">
        <v>1.3741066666666708E-3</v>
      </c>
      <c r="AF332" s="70">
        <v>0.45400000000000001</v>
      </c>
      <c r="AG332" s="70">
        <v>0.36320000000000002</v>
      </c>
      <c r="AH332" s="70">
        <v>0.54480000000000006</v>
      </c>
      <c r="AI332" s="70">
        <v>1.3741066666666708E-3</v>
      </c>
      <c r="AJ332" s="72" t="s">
        <v>478</v>
      </c>
    </row>
    <row r="333" spans="1:36" x14ac:dyDescent="0.25">
      <c r="A333" s="68">
        <v>326</v>
      </c>
      <c r="B333" s="69" t="s">
        <v>273</v>
      </c>
      <c r="C333" s="69" t="s">
        <v>273</v>
      </c>
      <c r="D333" s="69" t="s">
        <v>873</v>
      </c>
      <c r="E333" s="69" t="s">
        <v>874</v>
      </c>
      <c r="F333" s="69" t="s">
        <v>872</v>
      </c>
      <c r="G333" s="69" t="s">
        <v>237</v>
      </c>
      <c r="H333" s="70">
        <v>0.70600000000000018</v>
      </c>
      <c r="I333" s="70">
        <v>0.56480000000000019</v>
      </c>
      <c r="J333" s="70">
        <v>0.84720000000000018</v>
      </c>
      <c r="K333" s="70">
        <v>3.322906666666662E-3</v>
      </c>
      <c r="L333" s="71">
        <v>0.70600000000000018</v>
      </c>
      <c r="M333" s="71">
        <v>0.56480000000000019</v>
      </c>
      <c r="N333" s="71">
        <v>0.84720000000000018</v>
      </c>
      <c r="O333" s="71">
        <v>3.322906666666662E-3</v>
      </c>
      <c r="P333" s="70">
        <v>0.70600000000000018</v>
      </c>
      <c r="Q333" s="70">
        <v>0.56480000000000019</v>
      </c>
      <c r="R333" s="70">
        <v>0.84720000000000018</v>
      </c>
      <c r="S333" s="70">
        <v>3.322906666666662E-3</v>
      </c>
      <c r="T333" s="71">
        <v>0.70600000000000018</v>
      </c>
      <c r="U333" s="71">
        <v>0.56480000000000019</v>
      </c>
      <c r="V333" s="71">
        <v>0.84720000000000018</v>
      </c>
      <c r="W333" s="71">
        <v>3.322906666666662E-3</v>
      </c>
      <c r="X333" s="70">
        <v>0.70600000000000018</v>
      </c>
      <c r="Y333" s="70">
        <v>0.56480000000000019</v>
      </c>
      <c r="Z333" s="70">
        <v>0.84720000000000018</v>
      </c>
      <c r="AA333" s="70">
        <v>3.322906666666662E-3</v>
      </c>
      <c r="AB333" s="71">
        <v>0.70600000000000018</v>
      </c>
      <c r="AC333" s="71">
        <v>0.56480000000000019</v>
      </c>
      <c r="AD333" s="71">
        <v>0.84720000000000018</v>
      </c>
      <c r="AE333" s="71">
        <v>3.322906666666662E-3</v>
      </c>
      <c r="AF333" s="70">
        <v>0.70600000000000018</v>
      </c>
      <c r="AG333" s="70">
        <v>0.56480000000000019</v>
      </c>
      <c r="AH333" s="70">
        <v>0.84720000000000018</v>
      </c>
      <c r="AI333" s="70">
        <v>3.322906666666662E-3</v>
      </c>
      <c r="AJ333" s="72" t="s">
        <v>478</v>
      </c>
    </row>
    <row r="334" spans="1:36" x14ac:dyDescent="0.25">
      <c r="A334" s="4"/>
    </row>
    <row r="335" spans="1:36" x14ac:dyDescent="0.25">
      <c r="A335" s="4"/>
      <c r="P335" s="77"/>
      <c r="Q335" s="77"/>
      <c r="R335" s="77"/>
      <c r="S335" s="77"/>
    </row>
    <row r="336" spans="1:36" x14ac:dyDescent="0.25">
      <c r="P336" s="76"/>
      <c r="Q336" s="76"/>
      <c r="R336" s="76"/>
      <c r="S336" s="76"/>
    </row>
    <row r="340" spans="1:1" x14ac:dyDescent="0.25">
      <c r="A340" s="4"/>
    </row>
    <row r="341" spans="1:1" x14ac:dyDescent="0.25">
      <c r="A341" s="4"/>
    </row>
    <row r="342" spans="1:1" x14ac:dyDescent="0.25">
      <c r="A342" s="4"/>
    </row>
    <row r="343" spans="1:1" x14ac:dyDescent="0.25">
      <c r="A343" s="4"/>
    </row>
    <row r="344" spans="1:1" x14ac:dyDescent="0.25">
      <c r="A344" s="4"/>
    </row>
    <row r="345" spans="1:1" x14ac:dyDescent="0.25">
      <c r="A345" s="4"/>
    </row>
    <row r="346" spans="1:1" x14ac:dyDescent="0.25">
      <c r="A346" s="4"/>
    </row>
    <row r="347" spans="1:1" x14ac:dyDescent="0.25">
      <c r="A347" s="4"/>
    </row>
    <row r="348" spans="1:1" x14ac:dyDescent="0.25">
      <c r="A348" s="4"/>
    </row>
    <row r="349" spans="1:1" x14ac:dyDescent="0.25">
      <c r="A349" s="4"/>
    </row>
    <row r="350" spans="1:1" x14ac:dyDescent="0.25">
      <c r="A350" s="4"/>
    </row>
    <row r="351" spans="1:1" x14ac:dyDescent="0.25">
      <c r="A351" s="4"/>
    </row>
    <row r="352" spans="1:1" x14ac:dyDescent="0.25">
      <c r="A352" s="4"/>
    </row>
    <row r="353" spans="1:1" x14ac:dyDescent="0.25">
      <c r="A353" s="4"/>
    </row>
    <row r="354" spans="1:1" x14ac:dyDescent="0.25">
      <c r="A354" s="4"/>
    </row>
    <row r="355" spans="1:1" x14ac:dyDescent="0.25">
      <c r="A355" s="4"/>
    </row>
    <row r="356" spans="1:1" x14ac:dyDescent="0.25">
      <c r="A356" s="4"/>
    </row>
    <row r="357" spans="1:1" x14ac:dyDescent="0.25">
      <c r="A357" s="4"/>
    </row>
    <row r="358" spans="1:1" x14ac:dyDescent="0.25">
      <c r="A358" s="4"/>
    </row>
    <row r="359" spans="1:1" x14ac:dyDescent="0.25">
      <c r="A359" s="4"/>
    </row>
    <row r="360" spans="1:1" x14ac:dyDescent="0.25">
      <c r="A360" s="4"/>
    </row>
    <row r="361" spans="1:1" x14ac:dyDescent="0.25">
      <c r="A361" s="4"/>
    </row>
    <row r="362" spans="1:1" x14ac:dyDescent="0.25">
      <c r="A362" s="4"/>
    </row>
    <row r="363" spans="1:1" x14ac:dyDescent="0.25">
      <c r="A363" s="4"/>
    </row>
    <row r="364" spans="1:1" x14ac:dyDescent="0.25">
      <c r="A364" s="4"/>
    </row>
    <row r="365" spans="1:1" x14ac:dyDescent="0.25">
      <c r="A365" s="4"/>
    </row>
    <row r="366" spans="1:1" x14ac:dyDescent="0.25">
      <c r="A366" s="4"/>
    </row>
    <row r="367" spans="1:1" x14ac:dyDescent="0.25">
      <c r="A367" s="4"/>
    </row>
    <row r="368" spans="1:1" x14ac:dyDescent="0.25">
      <c r="A368" s="4"/>
    </row>
    <row r="369" spans="1:1" x14ac:dyDescent="0.25">
      <c r="A369" s="4"/>
    </row>
    <row r="370" spans="1:1" x14ac:dyDescent="0.25">
      <c r="A370" s="4"/>
    </row>
    <row r="371" spans="1:1" x14ac:dyDescent="0.25">
      <c r="A371" s="4"/>
    </row>
    <row r="372" spans="1:1" x14ac:dyDescent="0.25">
      <c r="A372" s="4"/>
    </row>
    <row r="373" spans="1:1" x14ac:dyDescent="0.25">
      <c r="A373" s="4"/>
    </row>
    <row r="374" spans="1:1" x14ac:dyDescent="0.25">
      <c r="A374" s="4"/>
    </row>
    <row r="375" spans="1:1" x14ac:dyDescent="0.25">
      <c r="A375" s="4"/>
    </row>
    <row r="376" spans="1:1" x14ac:dyDescent="0.25">
      <c r="A376" s="4"/>
    </row>
    <row r="377" spans="1:1" x14ac:dyDescent="0.25">
      <c r="A377" s="4"/>
    </row>
    <row r="378" spans="1:1" x14ac:dyDescent="0.25">
      <c r="A378" s="4"/>
    </row>
    <row r="379" spans="1:1" x14ac:dyDescent="0.25">
      <c r="A379" s="4"/>
    </row>
    <row r="380" spans="1:1" x14ac:dyDescent="0.25">
      <c r="A380" s="4"/>
    </row>
    <row r="381" spans="1:1" x14ac:dyDescent="0.25">
      <c r="A381" s="4"/>
    </row>
    <row r="382" spans="1:1" x14ac:dyDescent="0.25">
      <c r="A382" s="4"/>
    </row>
    <row r="383" spans="1:1" x14ac:dyDescent="0.25">
      <c r="A383" s="4"/>
    </row>
    <row r="384" spans="1:1" x14ac:dyDescent="0.25">
      <c r="A384" s="4"/>
    </row>
    <row r="385" spans="1:1" x14ac:dyDescent="0.25">
      <c r="A385" s="4"/>
    </row>
    <row r="386" spans="1:1" x14ac:dyDescent="0.25">
      <c r="A386" s="4"/>
    </row>
    <row r="387" spans="1:1" x14ac:dyDescent="0.25">
      <c r="A387" s="4"/>
    </row>
    <row r="388" spans="1:1" x14ac:dyDescent="0.25">
      <c r="A388" s="4"/>
    </row>
    <row r="389" spans="1:1" x14ac:dyDescent="0.25">
      <c r="A389" s="4"/>
    </row>
    <row r="390" spans="1:1" x14ac:dyDescent="0.25">
      <c r="A390" s="4"/>
    </row>
    <row r="391" spans="1:1" x14ac:dyDescent="0.25">
      <c r="A391" s="4"/>
    </row>
    <row r="392" spans="1:1" x14ac:dyDescent="0.25">
      <c r="A392" s="4"/>
    </row>
    <row r="393" spans="1:1" x14ac:dyDescent="0.25">
      <c r="A393" s="4"/>
    </row>
    <row r="394" spans="1:1" x14ac:dyDescent="0.25">
      <c r="A394" s="4"/>
    </row>
    <row r="395" spans="1:1" x14ac:dyDescent="0.25">
      <c r="A395" s="4"/>
    </row>
    <row r="396" spans="1:1" x14ac:dyDescent="0.25">
      <c r="A396" s="4"/>
    </row>
    <row r="397" spans="1:1" x14ac:dyDescent="0.25">
      <c r="A397" s="4"/>
    </row>
    <row r="398" spans="1:1" x14ac:dyDescent="0.25">
      <c r="A398" s="4"/>
    </row>
    <row r="399" spans="1:1" x14ac:dyDescent="0.25">
      <c r="A399" s="4"/>
    </row>
    <row r="400" spans="1:1" x14ac:dyDescent="0.25">
      <c r="A400" s="4"/>
    </row>
    <row r="401" spans="1:1" x14ac:dyDescent="0.25">
      <c r="A401" s="4"/>
    </row>
    <row r="402" spans="1:1" x14ac:dyDescent="0.25">
      <c r="A402" s="4"/>
    </row>
    <row r="403" spans="1:1" x14ac:dyDescent="0.25">
      <c r="A403" s="4"/>
    </row>
    <row r="404" spans="1:1" x14ac:dyDescent="0.25">
      <c r="A404" s="4"/>
    </row>
    <row r="405" spans="1:1" x14ac:dyDescent="0.25">
      <c r="A405" s="4"/>
    </row>
    <row r="406" spans="1:1" x14ac:dyDescent="0.25">
      <c r="A406" s="4"/>
    </row>
    <row r="407" spans="1:1" x14ac:dyDescent="0.25">
      <c r="A407" s="4"/>
    </row>
    <row r="408" spans="1:1" x14ac:dyDescent="0.25">
      <c r="A408" s="4"/>
    </row>
    <row r="409" spans="1:1" x14ac:dyDescent="0.25">
      <c r="A409" s="4"/>
    </row>
    <row r="410" spans="1:1" x14ac:dyDescent="0.25">
      <c r="A410" s="4"/>
    </row>
    <row r="411" spans="1:1" x14ac:dyDescent="0.25">
      <c r="A411" s="4"/>
    </row>
    <row r="412" spans="1:1" x14ac:dyDescent="0.25">
      <c r="A412" s="4"/>
    </row>
    <row r="413" spans="1:1" x14ac:dyDescent="0.25">
      <c r="A413" s="4"/>
    </row>
    <row r="414" spans="1:1" x14ac:dyDescent="0.25">
      <c r="A414" s="4"/>
    </row>
    <row r="415" spans="1:1" x14ac:dyDescent="0.25">
      <c r="A415" s="4"/>
    </row>
    <row r="416" spans="1:1" x14ac:dyDescent="0.25">
      <c r="A416" s="4"/>
    </row>
    <row r="417" spans="1:1" x14ac:dyDescent="0.25">
      <c r="A417" s="4"/>
    </row>
    <row r="418" spans="1:1" x14ac:dyDescent="0.25">
      <c r="A418" s="4"/>
    </row>
    <row r="419" spans="1:1" x14ac:dyDescent="0.25">
      <c r="A419" s="4"/>
    </row>
    <row r="420" spans="1:1" x14ac:dyDescent="0.25">
      <c r="A420" s="4"/>
    </row>
    <row r="421" spans="1:1" x14ac:dyDescent="0.25">
      <c r="A421" s="4"/>
    </row>
    <row r="422" spans="1:1" x14ac:dyDescent="0.25">
      <c r="A422" s="4"/>
    </row>
    <row r="423" spans="1:1" x14ac:dyDescent="0.25">
      <c r="A423" s="4"/>
    </row>
    <row r="424" spans="1:1" x14ac:dyDescent="0.25">
      <c r="A424" s="4"/>
    </row>
    <row r="425" spans="1:1" x14ac:dyDescent="0.25">
      <c r="A425" s="4"/>
    </row>
    <row r="426" spans="1:1" x14ac:dyDescent="0.25">
      <c r="A426" s="4"/>
    </row>
    <row r="427" spans="1:1" x14ac:dyDescent="0.25">
      <c r="A427" s="4"/>
    </row>
    <row r="428" spans="1:1" x14ac:dyDescent="0.25">
      <c r="A428" s="4"/>
    </row>
    <row r="429" spans="1:1" x14ac:dyDescent="0.25">
      <c r="A429" s="4"/>
    </row>
    <row r="430" spans="1:1" x14ac:dyDescent="0.25">
      <c r="A430" s="4"/>
    </row>
    <row r="431" spans="1:1" x14ac:dyDescent="0.25">
      <c r="A431" s="4"/>
    </row>
    <row r="432" spans="1:1" x14ac:dyDescent="0.25">
      <c r="A432" s="4"/>
    </row>
    <row r="433" spans="1:1" x14ac:dyDescent="0.25">
      <c r="A433" s="4"/>
    </row>
    <row r="434" spans="1:1" x14ac:dyDescent="0.25">
      <c r="A434" s="4"/>
    </row>
    <row r="435" spans="1:1" x14ac:dyDescent="0.25">
      <c r="A435" s="4"/>
    </row>
    <row r="436" spans="1:1" x14ac:dyDescent="0.25">
      <c r="A436" s="4"/>
    </row>
    <row r="437" spans="1:1" x14ac:dyDescent="0.25">
      <c r="A437" s="4"/>
    </row>
    <row r="438" spans="1:1" x14ac:dyDescent="0.25">
      <c r="A438" s="4"/>
    </row>
    <row r="439" spans="1:1" x14ac:dyDescent="0.25">
      <c r="A439" s="4"/>
    </row>
    <row r="440" spans="1:1" x14ac:dyDescent="0.25">
      <c r="A440" s="4"/>
    </row>
    <row r="441" spans="1:1" x14ac:dyDescent="0.25">
      <c r="A441" s="4"/>
    </row>
    <row r="442" spans="1:1" x14ac:dyDescent="0.25">
      <c r="A442" s="4"/>
    </row>
    <row r="443" spans="1:1" x14ac:dyDescent="0.25">
      <c r="A443" s="4"/>
    </row>
    <row r="444" spans="1:1" x14ac:dyDescent="0.25">
      <c r="A444" s="4"/>
    </row>
    <row r="445" spans="1:1" x14ac:dyDescent="0.25">
      <c r="A445" s="4"/>
    </row>
    <row r="446" spans="1:1" x14ac:dyDescent="0.25">
      <c r="A446" s="4"/>
    </row>
    <row r="447" spans="1:1" x14ac:dyDescent="0.25">
      <c r="A447" s="4"/>
    </row>
    <row r="448" spans="1:1" x14ac:dyDescent="0.25">
      <c r="A448" s="4"/>
    </row>
    <row r="449" spans="1:1" x14ac:dyDescent="0.25">
      <c r="A449" s="4"/>
    </row>
    <row r="450" spans="1:1" x14ac:dyDescent="0.25">
      <c r="A450" s="4"/>
    </row>
    <row r="451" spans="1:1" x14ac:dyDescent="0.25">
      <c r="A451" s="4"/>
    </row>
    <row r="452" spans="1:1" x14ac:dyDescent="0.25">
      <c r="A452" s="4"/>
    </row>
    <row r="453" spans="1:1" x14ac:dyDescent="0.25">
      <c r="A453" s="4"/>
    </row>
    <row r="454" spans="1:1" x14ac:dyDescent="0.25">
      <c r="A454" s="4"/>
    </row>
    <row r="455" spans="1:1" x14ac:dyDescent="0.25">
      <c r="A455" s="4"/>
    </row>
    <row r="456" spans="1:1" x14ac:dyDescent="0.25">
      <c r="A456" s="4"/>
    </row>
    <row r="457" spans="1:1" x14ac:dyDescent="0.25">
      <c r="A457" s="4"/>
    </row>
    <row r="458" spans="1:1" x14ac:dyDescent="0.25">
      <c r="A458" s="4"/>
    </row>
    <row r="459" spans="1:1" x14ac:dyDescent="0.25">
      <c r="A459" s="4"/>
    </row>
    <row r="460" spans="1:1" x14ac:dyDescent="0.25">
      <c r="A460" s="4"/>
    </row>
    <row r="461" spans="1:1" x14ac:dyDescent="0.25">
      <c r="A461" s="4"/>
    </row>
    <row r="462" spans="1:1" x14ac:dyDescent="0.25">
      <c r="A462" s="4"/>
    </row>
    <row r="463" spans="1:1" x14ac:dyDescent="0.25">
      <c r="A463" s="4"/>
    </row>
    <row r="464" spans="1:1" x14ac:dyDescent="0.25">
      <c r="A464" s="4"/>
    </row>
    <row r="465" spans="1:1" x14ac:dyDescent="0.25">
      <c r="A465" s="4"/>
    </row>
    <row r="466" spans="1:1" x14ac:dyDescent="0.25">
      <c r="A466" s="4"/>
    </row>
    <row r="467" spans="1:1" x14ac:dyDescent="0.25">
      <c r="A467" s="4"/>
    </row>
    <row r="468" spans="1:1" x14ac:dyDescent="0.25">
      <c r="A468" s="4"/>
    </row>
    <row r="469" spans="1:1" x14ac:dyDescent="0.25">
      <c r="A469" s="4"/>
    </row>
    <row r="470" spans="1:1" x14ac:dyDescent="0.25">
      <c r="A470" s="4"/>
    </row>
    <row r="471" spans="1:1" x14ac:dyDescent="0.25">
      <c r="A471" s="4"/>
    </row>
    <row r="472" spans="1:1" x14ac:dyDescent="0.25">
      <c r="A472" s="4"/>
    </row>
    <row r="473" spans="1:1" x14ac:dyDescent="0.25">
      <c r="A473" s="4"/>
    </row>
    <row r="474" spans="1:1" x14ac:dyDescent="0.25">
      <c r="A474" s="4"/>
    </row>
    <row r="475" spans="1:1" x14ac:dyDescent="0.25">
      <c r="A475" s="4"/>
    </row>
    <row r="476" spans="1:1" x14ac:dyDescent="0.25">
      <c r="A476" s="4"/>
    </row>
    <row r="477" spans="1:1" x14ac:dyDescent="0.25">
      <c r="A477" s="4"/>
    </row>
    <row r="478" spans="1:1" x14ac:dyDescent="0.25">
      <c r="A478" s="4"/>
    </row>
    <row r="479" spans="1:1" x14ac:dyDescent="0.25">
      <c r="A479" s="4"/>
    </row>
    <row r="480" spans="1:1" x14ac:dyDescent="0.25">
      <c r="A480" s="4"/>
    </row>
    <row r="481" spans="1:1" x14ac:dyDescent="0.25">
      <c r="A481" s="4"/>
    </row>
    <row r="482" spans="1:1" x14ac:dyDescent="0.25">
      <c r="A482" s="4"/>
    </row>
    <row r="483" spans="1:1" x14ac:dyDescent="0.25">
      <c r="A483" s="4"/>
    </row>
    <row r="484" spans="1:1" x14ac:dyDescent="0.25">
      <c r="A484" s="4"/>
    </row>
    <row r="485" spans="1:1" x14ac:dyDescent="0.25">
      <c r="A485" s="4"/>
    </row>
    <row r="486" spans="1:1" x14ac:dyDescent="0.25">
      <c r="A486" s="4"/>
    </row>
    <row r="487" spans="1:1" x14ac:dyDescent="0.25">
      <c r="A487" s="4"/>
    </row>
    <row r="488" spans="1:1" x14ac:dyDescent="0.25">
      <c r="A488" s="4"/>
    </row>
    <row r="489" spans="1:1" x14ac:dyDescent="0.25">
      <c r="A489" s="4"/>
    </row>
    <row r="490" spans="1:1" x14ac:dyDescent="0.25">
      <c r="A490" s="4"/>
    </row>
    <row r="491" spans="1:1" x14ac:dyDescent="0.25">
      <c r="A491" s="4"/>
    </row>
    <row r="492" spans="1:1" x14ac:dyDescent="0.25">
      <c r="A492" s="4"/>
    </row>
    <row r="493" spans="1:1" x14ac:dyDescent="0.25">
      <c r="A493" s="4"/>
    </row>
    <row r="494" spans="1:1" x14ac:dyDescent="0.25">
      <c r="A494" s="4"/>
    </row>
    <row r="495" spans="1:1" x14ac:dyDescent="0.25">
      <c r="A495" s="4"/>
    </row>
    <row r="496" spans="1:1" x14ac:dyDescent="0.25">
      <c r="A496" s="4"/>
    </row>
    <row r="497" spans="1:1" x14ac:dyDescent="0.25">
      <c r="A497" s="4"/>
    </row>
    <row r="498" spans="1:1" x14ac:dyDescent="0.25">
      <c r="A498" s="4"/>
    </row>
    <row r="499" spans="1:1" x14ac:dyDescent="0.25">
      <c r="A499" s="4"/>
    </row>
    <row r="500" spans="1:1" x14ac:dyDescent="0.25">
      <c r="A500" s="4"/>
    </row>
    <row r="501" spans="1:1" x14ac:dyDescent="0.25">
      <c r="A501" s="4"/>
    </row>
    <row r="502" spans="1:1" x14ac:dyDescent="0.25">
      <c r="A502" s="4"/>
    </row>
    <row r="503" spans="1:1" x14ac:dyDescent="0.25">
      <c r="A503" s="4"/>
    </row>
    <row r="504" spans="1:1" x14ac:dyDescent="0.25">
      <c r="A504" s="4"/>
    </row>
    <row r="505" spans="1:1" x14ac:dyDescent="0.25">
      <c r="A505" s="4"/>
    </row>
    <row r="506" spans="1:1" x14ac:dyDescent="0.25">
      <c r="A506" s="4"/>
    </row>
    <row r="507" spans="1:1" x14ac:dyDescent="0.25">
      <c r="A507" s="4"/>
    </row>
    <row r="508" spans="1:1" x14ac:dyDescent="0.25">
      <c r="A508" s="4"/>
    </row>
    <row r="509" spans="1:1" x14ac:dyDescent="0.25">
      <c r="A509" s="4"/>
    </row>
    <row r="510" spans="1:1" x14ac:dyDescent="0.25">
      <c r="A510" s="4"/>
    </row>
    <row r="511" spans="1:1" x14ac:dyDescent="0.25">
      <c r="A511" s="4"/>
    </row>
    <row r="512" spans="1:1" x14ac:dyDescent="0.25">
      <c r="A512" s="4"/>
    </row>
    <row r="513" spans="1:1" x14ac:dyDescent="0.25">
      <c r="A513" s="4"/>
    </row>
    <row r="514" spans="1:1" x14ac:dyDescent="0.25">
      <c r="A514" s="4"/>
    </row>
    <row r="515" spans="1:1" x14ac:dyDescent="0.25">
      <c r="A515" s="4"/>
    </row>
    <row r="516" spans="1:1" x14ac:dyDescent="0.25">
      <c r="A516" s="4"/>
    </row>
    <row r="517" spans="1:1" x14ac:dyDescent="0.25">
      <c r="A517" s="4"/>
    </row>
    <row r="518" spans="1:1" x14ac:dyDescent="0.25">
      <c r="A518" s="4"/>
    </row>
    <row r="519" spans="1:1" x14ac:dyDescent="0.25">
      <c r="A519" s="4"/>
    </row>
    <row r="520" spans="1:1" x14ac:dyDescent="0.25">
      <c r="A520" s="4"/>
    </row>
    <row r="521" spans="1:1" x14ac:dyDescent="0.25">
      <c r="A521" s="4"/>
    </row>
    <row r="522" spans="1:1" x14ac:dyDescent="0.25">
      <c r="A522" s="4"/>
    </row>
    <row r="523" spans="1:1" x14ac:dyDescent="0.25">
      <c r="A523" s="4"/>
    </row>
    <row r="524" spans="1:1" x14ac:dyDescent="0.25">
      <c r="A524" s="4"/>
    </row>
    <row r="525" spans="1:1" x14ac:dyDescent="0.25">
      <c r="A525" s="4"/>
    </row>
    <row r="526" spans="1:1" x14ac:dyDescent="0.25">
      <c r="A526" s="4"/>
    </row>
    <row r="527" spans="1:1" x14ac:dyDescent="0.25">
      <c r="A527" s="4"/>
    </row>
    <row r="528" spans="1:1" x14ac:dyDescent="0.25">
      <c r="A528" s="4"/>
    </row>
    <row r="529" spans="1:1" x14ac:dyDescent="0.25">
      <c r="A529" s="4"/>
    </row>
    <row r="530" spans="1:1" x14ac:dyDescent="0.25">
      <c r="A530" s="4"/>
    </row>
    <row r="531" spans="1:1" x14ac:dyDescent="0.25">
      <c r="A531" s="4"/>
    </row>
    <row r="532" spans="1:1" x14ac:dyDescent="0.25">
      <c r="A532" s="4"/>
    </row>
    <row r="533" spans="1:1" x14ac:dyDescent="0.25">
      <c r="A533" s="4"/>
    </row>
    <row r="534" spans="1:1" x14ac:dyDescent="0.25">
      <c r="A534" s="4"/>
    </row>
    <row r="535" spans="1:1" x14ac:dyDescent="0.25">
      <c r="A535" s="4"/>
    </row>
    <row r="536" spans="1:1" x14ac:dyDescent="0.25">
      <c r="A536" s="4"/>
    </row>
    <row r="537" spans="1:1" x14ac:dyDescent="0.25">
      <c r="A537" s="4"/>
    </row>
    <row r="538" spans="1:1" x14ac:dyDescent="0.25">
      <c r="A538" s="4"/>
    </row>
    <row r="539" spans="1:1" x14ac:dyDescent="0.25">
      <c r="A539" s="4"/>
    </row>
    <row r="540" spans="1:1" x14ac:dyDescent="0.25">
      <c r="A540" s="4"/>
    </row>
    <row r="541" spans="1:1" x14ac:dyDescent="0.25">
      <c r="A541" s="4"/>
    </row>
    <row r="542" spans="1:1" x14ac:dyDescent="0.25">
      <c r="A542" s="4"/>
    </row>
    <row r="543" spans="1:1" x14ac:dyDescent="0.25">
      <c r="A543" s="4"/>
    </row>
    <row r="544" spans="1:1" x14ac:dyDescent="0.25">
      <c r="A544" s="4"/>
    </row>
    <row r="545" spans="1:1" x14ac:dyDescent="0.25">
      <c r="A545" s="4"/>
    </row>
    <row r="546" spans="1:1" x14ac:dyDescent="0.25">
      <c r="A546" s="4"/>
    </row>
    <row r="547" spans="1:1" x14ac:dyDescent="0.25">
      <c r="A547" s="4"/>
    </row>
    <row r="548" spans="1:1" x14ac:dyDescent="0.25">
      <c r="A548" s="4"/>
    </row>
    <row r="549" spans="1:1" x14ac:dyDescent="0.25">
      <c r="A549" s="4"/>
    </row>
    <row r="550" spans="1:1" x14ac:dyDescent="0.25">
      <c r="A550" s="4"/>
    </row>
    <row r="551" spans="1:1" x14ac:dyDescent="0.25">
      <c r="A551" s="4"/>
    </row>
    <row r="552" spans="1:1" x14ac:dyDescent="0.25">
      <c r="A552" s="4"/>
    </row>
    <row r="553" spans="1:1" x14ac:dyDescent="0.25">
      <c r="A553" s="4"/>
    </row>
    <row r="554" spans="1:1" x14ac:dyDescent="0.25">
      <c r="A554" s="4"/>
    </row>
    <row r="555" spans="1:1" x14ac:dyDescent="0.25">
      <c r="A555" s="4"/>
    </row>
    <row r="556" spans="1:1" x14ac:dyDescent="0.25">
      <c r="A556" s="4"/>
    </row>
    <row r="557" spans="1:1" x14ac:dyDescent="0.25">
      <c r="A557" s="4"/>
    </row>
    <row r="558" spans="1:1" x14ac:dyDescent="0.25">
      <c r="A558" s="4"/>
    </row>
    <row r="559" spans="1:1" x14ac:dyDescent="0.25">
      <c r="A559" s="4"/>
    </row>
    <row r="560" spans="1:1" x14ac:dyDescent="0.25">
      <c r="A560" s="4"/>
    </row>
    <row r="561" spans="1:1" x14ac:dyDescent="0.25">
      <c r="A561" s="4"/>
    </row>
    <row r="562" spans="1:1" x14ac:dyDescent="0.25">
      <c r="A562" s="4"/>
    </row>
    <row r="563" spans="1:1" x14ac:dyDescent="0.25">
      <c r="A563" s="4"/>
    </row>
    <row r="564" spans="1:1" x14ac:dyDescent="0.25">
      <c r="A564" s="4"/>
    </row>
    <row r="565" spans="1:1" x14ac:dyDescent="0.25">
      <c r="A565" s="4"/>
    </row>
    <row r="566" spans="1:1" x14ac:dyDescent="0.25">
      <c r="A566" s="4"/>
    </row>
    <row r="567" spans="1:1" x14ac:dyDescent="0.25">
      <c r="A567" s="4"/>
    </row>
    <row r="568" spans="1:1" x14ac:dyDescent="0.25">
      <c r="A568" s="4"/>
    </row>
    <row r="569" spans="1:1" x14ac:dyDescent="0.25">
      <c r="A569" s="4"/>
    </row>
    <row r="570" spans="1:1" x14ac:dyDescent="0.25">
      <c r="A570" s="4"/>
    </row>
    <row r="571" spans="1:1" x14ac:dyDescent="0.25">
      <c r="A571" s="4"/>
    </row>
    <row r="572" spans="1:1" x14ac:dyDescent="0.25">
      <c r="A572" s="4"/>
    </row>
    <row r="573" spans="1:1" x14ac:dyDescent="0.25">
      <c r="A573" s="4"/>
    </row>
    <row r="574" spans="1:1" x14ac:dyDescent="0.25">
      <c r="A574" s="4"/>
    </row>
    <row r="575" spans="1:1" x14ac:dyDescent="0.25">
      <c r="A575" s="4"/>
    </row>
    <row r="576" spans="1:1" x14ac:dyDescent="0.25">
      <c r="A576" s="4"/>
    </row>
    <row r="577" spans="1:1" x14ac:dyDescent="0.25">
      <c r="A577" s="4"/>
    </row>
    <row r="578" spans="1:1" x14ac:dyDescent="0.25">
      <c r="A578" s="4"/>
    </row>
    <row r="579" spans="1:1" x14ac:dyDescent="0.25">
      <c r="A579" s="4"/>
    </row>
    <row r="580" spans="1:1" x14ac:dyDescent="0.25">
      <c r="A580" s="4"/>
    </row>
    <row r="581" spans="1:1" x14ac:dyDescent="0.25">
      <c r="A581" s="4"/>
    </row>
    <row r="582" spans="1:1" x14ac:dyDescent="0.25">
      <c r="A582" s="4"/>
    </row>
    <row r="583" spans="1:1" x14ac:dyDescent="0.25">
      <c r="A583" s="4"/>
    </row>
    <row r="584" spans="1:1" x14ac:dyDescent="0.25">
      <c r="A584" s="4"/>
    </row>
    <row r="585" spans="1:1" x14ac:dyDescent="0.25">
      <c r="A585" s="4"/>
    </row>
    <row r="586" spans="1:1" x14ac:dyDescent="0.25">
      <c r="A586" s="4"/>
    </row>
    <row r="587" spans="1:1" x14ac:dyDescent="0.25">
      <c r="A587" s="4"/>
    </row>
    <row r="588" spans="1:1" x14ac:dyDescent="0.25">
      <c r="A588" s="4"/>
    </row>
    <row r="589" spans="1:1" x14ac:dyDescent="0.25">
      <c r="A589" s="4"/>
    </row>
    <row r="590" spans="1:1" x14ac:dyDescent="0.25">
      <c r="A590" s="4"/>
    </row>
    <row r="591" spans="1:1" x14ac:dyDescent="0.25">
      <c r="A591" s="4"/>
    </row>
    <row r="592" spans="1:1" x14ac:dyDescent="0.25">
      <c r="A592" s="4"/>
    </row>
    <row r="593" spans="1:1" x14ac:dyDescent="0.25">
      <c r="A593" s="4"/>
    </row>
    <row r="594" spans="1:1" x14ac:dyDescent="0.25">
      <c r="A594" s="4"/>
    </row>
    <row r="595" spans="1:1" x14ac:dyDescent="0.25">
      <c r="A595" s="4"/>
    </row>
    <row r="596" spans="1:1" x14ac:dyDescent="0.25">
      <c r="A596" s="4"/>
    </row>
    <row r="597" spans="1:1" x14ac:dyDescent="0.25">
      <c r="A597" s="4"/>
    </row>
    <row r="598" spans="1:1" x14ac:dyDescent="0.25">
      <c r="A598" s="4"/>
    </row>
    <row r="599" spans="1:1" x14ac:dyDescent="0.25">
      <c r="A599" s="4"/>
    </row>
    <row r="600" spans="1:1" x14ac:dyDescent="0.25">
      <c r="A600" s="4"/>
    </row>
    <row r="601" spans="1:1" x14ac:dyDescent="0.25">
      <c r="A601" s="4"/>
    </row>
    <row r="602" spans="1:1" x14ac:dyDescent="0.25">
      <c r="A602" s="4"/>
    </row>
    <row r="603" spans="1:1" x14ac:dyDescent="0.25">
      <c r="A603" s="4"/>
    </row>
    <row r="604" spans="1:1" x14ac:dyDescent="0.25">
      <c r="A604" s="4"/>
    </row>
    <row r="605" spans="1:1" x14ac:dyDescent="0.25">
      <c r="A605" s="4"/>
    </row>
    <row r="606" spans="1:1" x14ac:dyDescent="0.25">
      <c r="A606" s="4"/>
    </row>
    <row r="607" spans="1:1" x14ac:dyDescent="0.25">
      <c r="A607" s="4"/>
    </row>
    <row r="608" spans="1:1" x14ac:dyDescent="0.25">
      <c r="A608" s="4"/>
    </row>
    <row r="609" spans="1:1" x14ac:dyDescent="0.25">
      <c r="A609" s="4"/>
    </row>
    <row r="610" spans="1:1" x14ac:dyDescent="0.25">
      <c r="A610" s="4"/>
    </row>
    <row r="611" spans="1:1" x14ac:dyDescent="0.25">
      <c r="A611" s="4"/>
    </row>
    <row r="612" spans="1:1" x14ac:dyDescent="0.25">
      <c r="A612" s="4"/>
    </row>
    <row r="613" spans="1:1" x14ac:dyDescent="0.25">
      <c r="A613" s="4"/>
    </row>
    <row r="614" spans="1:1" x14ac:dyDescent="0.25">
      <c r="A614" s="4"/>
    </row>
    <row r="615" spans="1:1" x14ac:dyDescent="0.25">
      <c r="A615" s="4"/>
    </row>
    <row r="616" spans="1:1" x14ac:dyDescent="0.25">
      <c r="A616" s="4"/>
    </row>
    <row r="617" spans="1:1" x14ac:dyDescent="0.25">
      <c r="A617" s="4"/>
    </row>
    <row r="618" spans="1:1" x14ac:dyDescent="0.25">
      <c r="A618" s="4"/>
    </row>
    <row r="619" spans="1:1" x14ac:dyDescent="0.25">
      <c r="A619" s="4"/>
    </row>
    <row r="620" spans="1:1" x14ac:dyDescent="0.25">
      <c r="A620" s="4"/>
    </row>
    <row r="621" spans="1:1" x14ac:dyDescent="0.25">
      <c r="A621" s="4"/>
    </row>
    <row r="622" spans="1:1" x14ac:dyDescent="0.25">
      <c r="A622" s="4"/>
    </row>
    <row r="623" spans="1:1" x14ac:dyDescent="0.25">
      <c r="A623" s="4"/>
    </row>
    <row r="624" spans="1:1" x14ac:dyDescent="0.25">
      <c r="A624" s="4"/>
    </row>
    <row r="625" spans="1:1" x14ac:dyDescent="0.25">
      <c r="A625" s="4"/>
    </row>
    <row r="626" spans="1:1" x14ac:dyDescent="0.25">
      <c r="A626" s="4"/>
    </row>
    <row r="627" spans="1:1" x14ac:dyDescent="0.25">
      <c r="A627" s="4"/>
    </row>
    <row r="628" spans="1:1" x14ac:dyDescent="0.25">
      <c r="A628" s="4"/>
    </row>
    <row r="629" spans="1:1" x14ac:dyDescent="0.25">
      <c r="A629" s="4"/>
    </row>
    <row r="630" spans="1:1" x14ac:dyDescent="0.25">
      <c r="A630" s="4"/>
    </row>
    <row r="631" spans="1:1" x14ac:dyDescent="0.25">
      <c r="A631" s="4"/>
    </row>
    <row r="632" spans="1:1" x14ac:dyDescent="0.25">
      <c r="A632" s="4"/>
    </row>
    <row r="633" spans="1:1" x14ac:dyDescent="0.25">
      <c r="A633" s="4"/>
    </row>
    <row r="634" spans="1:1" x14ac:dyDescent="0.25">
      <c r="A634" s="4"/>
    </row>
    <row r="635" spans="1:1" x14ac:dyDescent="0.25">
      <c r="A635" s="4"/>
    </row>
    <row r="636" spans="1:1" x14ac:dyDescent="0.25">
      <c r="A636" s="4"/>
    </row>
    <row r="637" spans="1:1" x14ac:dyDescent="0.25">
      <c r="A637" s="4"/>
    </row>
    <row r="638" spans="1:1" x14ac:dyDescent="0.25">
      <c r="A638" s="4"/>
    </row>
    <row r="639" spans="1:1" x14ac:dyDescent="0.25">
      <c r="A639" s="4"/>
    </row>
    <row r="640" spans="1:1" x14ac:dyDescent="0.25">
      <c r="A640" s="4"/>
    </row>
    <row r="641" spans="1:1" x14ac:dyDescent="0.25">
      <c r="A641" s="4"/>
    </row>
    <row r="642" spans="1:1" x14ac:dyDescent="0.25">
      <c r="A642" s="4"/>
    </row>
    <row r="643" spans="1:1" x14ac:dyDescent="0.25">
      <c r="A643" s="4"/>
    </row>
    <row r="644" spans="1:1" x14ac:dyDescent="0.25">
      <c r="A644" s="4"/>
    </row>
    <row r="645" spans="1:1" x14ac:dyDescent="0.25">
      <c r="A645" s="4"/>
    </row>
    <row r="646" spans="1:1" x14ac:dyDescent="0.25">
      <c r="A646" s="4"/>
    </row>
    <row r="647" spans="1:1" x14ac:dyDescent="0.25">
      <c r="A647" s="4"/>
    </row>
    <row r="648" spans="1:1" x14ac:dyDescent="0.25">
      <c r="A648" s="4"/>
    </row>
    <row r="649" spans="1:1" x14ac:dyDescent="0.25">
      <c r="A649" s="4"/>
    </row>
    <row r="650" spans="1:1" x14ac:dyDescent="0.25">
      <c r="A650" s="4"/>
    </row>
    <row r="651" spans="1:1" x14ac:dyDescent="0.25">
      <c r="A651" s="4"/>
    </row>
    <row r="652" spans="1:1" x14ac:dyDescent="0.25">
      <c r="A652" s="4"/>
    </row>
    <row r="653" spans="1:1" x14ac:dyDescent="0.25">
      <c r="A653" s="4"/>
    </row>
    <row r="654" spans="1:1" x14ac:dyDescent="0.25">
      <c r="A654" s="4"/>
    </row>
    <row r="655" spans="1:1" x14ac:dyDescent="0.25">
      <c r="A655" s="4"/>
    </row>
    <row r="656" spans="1:1" x14ac:dyDescent="0.25">
      <c r="A656" s="4"/>
    </row>
    <row r="657" spans="1:1" x14ac:dyDescent="0.25">
      <c r="A657" s="4"/>
    </row>
    <row r="658" spans="1:1" x14ac:dyDescent="0.25">
      <c r="A658" s="4"/>
    </row>
    <row r="659" spans="1:1" x14ac:dyDescent="0.25">
      <c r="A659" s="4"/>
    </row>
    <row r="660" spans="1:1" x14ac:dyDescent="0.25">
      <c r="A660" s="4"/>
    </row>
    <row r="661" spans="1:1" x14ac:dyDescent="0.25">
      <c r="A661" s="4"/>
    </row>
    <row r="662" spans="1:1" x14ac:dyDescent="0.25">
      <c r="A662" s="4"/>
    </row>
    <row r="663" spans="1:1" x14ac:dyDescent="0.25">
      <c r="A663" s="4"/>
    </row>
    <row r="664" spans="1:1" x14ac:dyDescent="0.25">
      <c r="A664" s="4"/>
    </row>
    <row r="665" spans="1:1" x14ac:dyDescent="0.25">
      <c r="A665" s="4"/>
    </row>
    <row r="666" spans="1:1" x14ac:dyDescent="0.25">
      <c r="A666" s="4"/>
    </row>
  </sheetData>
  <mergeCells count="7">
    <mergeCell ref="AF4:AI4"/>
    <mergeCell ref="H4:K4"/>
    <mergeCell ref="L4:O4"/>
    <mergeCell ref="P4:S4"/>
    <mergeCell ref="T4:W4"/>
    <mergeCell ref="X4:AA4"/>
    <mergeCell ref="AB4:AE4"/>
  </mergeCells>
  <conditionalFormatting sqref="H670:AI998">
    <cfRule type="cellIs" dxfId="0" priority="1" operator="equal">
      <formula>1</formula>
    </cfRule>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F31"/>
  <sheetViews>
    <sheetView topLeftCell="C1" workbookViewId="0">
      <selection activeCell="I18" sqref="I18"/>
    </sheetView>
  </sheetViews>
  <sheetFormatPr defaultRowHeight="15" x14ac:dyDescent="0.25"/>
  <cols>
    <col min="1" max="1" width="21" bestFit="1" customWidth="1"/>
    <col min="2" max="2" width="43.5703125" bestFit="1" customWidth="1"/>
    <col min="3" max="3" width="17.7109375" bestFit="1" customWidth="1"/>
    <col min="4" max="4" width="55.85546875" bestFit="1" customWidth="1"/>
    <col min="5" max="5" width="24.140625" bestFit="1" customWidth="1"/>
    <col min="6" max="6" width="10.5703125" bestFit="1" customWidth="1"/>
  </cols>
  <sheetData>
    <row r="1" spans="1:6" x14ac:dyDescent="0.25">
      <c r="A1" s="29" t="s">
        <v>204</v>
      </c>
      <c r="B1" s="29" t="s">
        <v>205</v>
      </c>
      <c r="C1" s="29" t="s">
        <v>206</v>
      </c>
      <c r="D1" s="29" t="s">
        <v>207</v>
      </c>
      <c r="E1" s="29" t="s">
        <v>40</v>
      </c>
      <c r="F1" s="29" t="s">
        <v>208</v>
      </c>
    </row>
    <row r="2" spans="1:6" x14ac:dyDescent="0.25">
      <c r="A2" s="17" t="s">
        <v>209</v>
      </c>
      <c r="B2" s="17" t="s">
        <v>209</v>
      </c>
      <c r="C2" s="17" t="s">
        <v>210</v>
      </c>
      <c r="D2" s="17" t="s">
        <v>211</v>
      </c>
      <c r="E2" s="17" t="s">
        <v>53</v>
      </c>
      <c r="F2" s="83" t="s">
        <v>949</v>
      </c>
    </row>
    <row r="3" spans="1:6" x14ac:dyDescent="0.25">
      <c r="A3" s="17" t="s">
        <v>209</v>
      </c>
      <c r="B3" s="78" t="s">
        <v>209</v>
      </c>
      <c r="C3" s="17" t="s">
        <v>212</v>
      </c>
      <c r="D3" s="17" t="s">
        <v>213</v>
      </c>
      <c r="E3" s="17" t="s">
        <v>53</v>
      </c>
      <c r="F3" s="102" t="s">
        <v>949</v>
      </c>
    </row>
    <row r="4" spans="1:6" x14ac:dyDescent="0.25">
      <c r="A4" s="17" t="s">
        <v>209</v>
      </c>
      <c r="B4" s="78" t="s">
        <v>209</v>
      </c>
      <c r="C4" s="17" t="s">
        <v>214</v>
      </c>
      <c r="D4" s="17" t="s">
        <v>215</v>
      </c>
      <c r="E4" s="17" t="s">
        <v>53</v>
      </c>
      <c r="F4" s="102" t="s">
        <v>949</v>
      </c>
    </row>
    <row r="5" spans="1:6" x14ac:dyDescent="0.25">
      <c r="A5" s="17" t="s">
        <v>209</v>
      </c>
      <c r="B5" s="78" t="s">
        <v>209</v>
      </c>
      <c r="C5" s="17" t="s">
        <v>216</v>
      </c>
      <c r="D5" s="17" t="s">
        <v>217</v>
      </c>
      <c r="E5" s="17" t="s">
        <v>53</v>
      </c>
      <c r="F5" s="102" t="s">
        <v>949</v>
      </c>
    </row>
    <row r="6" spans="1:6" ht="15.75" x14ac:dyDescent="0.25">
      <c r="A6" s="17" t="s">
        <v>209</v>
      </c>
      <c r="B6" s="78" t="s">
        <v>209</v>
      </c>
      <c r="C6" s="17" t="s">
        <v>218</v>
      </c>
      <c r="D6" s="17" t="s">
        <v>219</v>
      </c>
      <c r="E6" s="17" t="s">
        <v>220</v>
      </c>
      <c r="F6" s="102" t="s">
        <v>949</v>
      </c>
    </row>
    <row r="7" spans="1:6" x14ac:dyDescent="0.25">
      <c r="A7" s="17" t="s">
        <v>209</v>
      </c>
      <c r="B7" s="78" t="s">
        <v>209</v>
      </c>
      <c r="C7" s="17" t="s">
        <v>221</v>
      </c>
      <c r="D7" s="17" t="s">
        <v>222</v>
      </c>
      <c r="E7" s="17" t="s">
        <v>53</v>
      </c>
      <c r="F7" s="102" t="s">
        <v>949</v>
      </c>
    </row>
    <row r="8" spans="1:6" x14ac:dyDescent="0.25">
      <c r="A8" s="17" t="s">
        <v>209</v>
      </c>
      <c r="B8" s="78" t="s">
        <v>209</v>
      </c>
      <c r="C8" s="17" t="s">
        <v>223</v>
      </c>
      <c r="D8" s="17" t="s">
        <v>224</v>
      </c>
      <c r="E8" s="17" t="s">
        <v>53</v>
      </c>
      <c r="F8" s="102" t="s">
        <v>949</v>
      </c>
    </row>
    <row r="9" spans="1:6" x14ac:dyDescent="0.25">
      <c r="A9" s="17" t="s">
        <v>209</v>
      </c>
      <c r="B9" s="78" t="s">
        <v>209</v>
      </c>
      <c r="C9" s="17" t="s">
        <v>225</v>
      </c>
      <c r="D9" s="17" t="s">
        <v>226</v>
      </c>
      <c r="E9" s="17" t="s">
        <v>53</v>
      </c>
      <c r="F9" s="102" t="s">
        <v>949</v>
      </c>
    </row>
    <row r="10" spans="1:6" x14ac:dyDescent="0.25">
      <c r="A10" s="17" t="s">
        <v>209</v>
      </c>
      <c r="B10" s="78" t="s">
        <v>209</v>
      </c>
      <c r="C10" s="17" t="s">
        <v>227</v>
      </c>
      <c r="D10" s="17" t="s">
        <v>228</v>
      </c>
      <c r="E10" s="17" t="s">
        <v>53</v>
      </c>
      <c r="F10" s="102" t="s">
        <v>949</v>
      </c>
    </row>
    <row r="11" spans="1:6" x14ac:dyDescent="0.25">
      <c r="A11" s="17" t="s">
        <v>209</v>
      </c>
      <c r="B11" s="78" t="s">
        <v>209</v>
      </c>
      <c r="C11" s="17" t="s">
        <v>229</v>
      </c>
      <c r="D11" s="17" t="s">
        <v>230</v>
      </c>
      <c r="E11" s="17" t="s">
        <v>53</v>
      </c>
      <c r="F11" s="102" t="s">
        <v>949</v>
      </c>
    </row>
    <row r="12" spans="1:6" x14ac:dyDescent="0.25">
      <c r="A12" s="17" t="s">
        <v>209</v>
      </c>
      <c r="B12" s="78" t="s">
        <v>209</v>
      </c>
      <c r="C12" s="17" t="s">
        <v>231</v>
      </c>
      <c r="D12" s="17" t="s">
        <v>232</v>
      </c>
      <c r="E12" s="17" t="s">
        <v>53</v>
      </c>
      <c r="F12" s="102" t="s">
        <v>949</v>
      </c>
    </row>
    <row r="13" spans="1:6" x14ac:dyDescent="0.25">
      <c r="A13" s="17" t="s">
        <v>209</v>
      </c>
      <c r="B13" s="78" t="s">
        <v>209</v>
      </c>
      <c r="C13" s="17" t="s">
        <v>233</v>
      </c>
      <c r="D13" s="17" t="s">
        <v>234</v>
      </c>
      <c r="E13" s="17" t="s">
        <v>53</v>
      </c>
      <c r="F13" s="102" t="s">
        <v>949</v>
      </c>
    </row>
    <row r="14" spans="1:6" ht="15.75" x14ac:dyDescent="0.25">
      <c r="A14" s="116" t="s">
        <v>209</v>
      </c>
      <c r="B14" s="116" t="s">
        <v>209</v>
      </c>
      <c r="C14" s="116" t="s">
        <v>235</v>
      </c>
      <c r="D14" s="116" t="s">
        <v>928</v>
      </c>
      <c r="E14" s="116" t="s">
        <v>236</v>
      </c>
      <c r="F14" s="116" t="s">
        <v>237</v>
      </c>
    </row>
    <row r="15" spans="1:6" x14ac:dyDescent="0.25">
      <c r="A15" s="17" t="s">
        <v>238</v>
      </c>
      <c r="B15" s="17" t="s">
        <v>936</v>
      </c>
      <c r="C15" s="17" t="s">
        <v>239</v>
      </c>
      <c r="D15" s="17" t="s">
        <v>941</v>
      </c>
      <c r="E15" s="17" t="s">
        <v>241</v>
      </c>
      <c r="F15" s="17" t="s">
        <v>237</v>
      </c>
    </row>
    <row r="16" spans="1:6" x14ac:dyDescent="0.25">
      <c r="A16" s="17" t="s">
        <v>238</v>
      </c>
      <c r="B16" s="17" t="s">
        <v>242</v>
      </c>
      <c r="C16" s="17" t="s">
        <v>243</v>
      </c>
      <c r="D16" s="17" t="s">
        <v>244</v>
      </c>
      <c r="E16" s="17" t="s">
        <v>245</v>
      </c>
      <c r="F16" s="17" t="s">
        <v>237</v>
      </c>
    </row>
    <row r="17" spans="1:6" x14ac:dyDescent="0.25">
      <c r="A17" s="17" t="s">
        <v>238</v>
      </c>
      <c r="B17" s="17" t="s">
        <v>246</v>
      </c>
      <c r="C17" s="17" t="s">
        <v>247</v>
      </c>
      <c r="D17" s="17" t="s">
        <v>248</v>
      </c>
      <c r="E17" s="17" t="s">
        <v>249</v>
      </c>
      <c r="F17" s="17" t="s">
        <v>237</v>
      </c>
    </row>
    <row r="18" spans="1:6" x14ac:dyDescent="0.25">
      <c r="A18" s="17" t="s">
        <v>238</v>
      </c>
      <c r="B18" s="17" t="s">
        <v>246</v>
      </c>
      <c r="C18" s="17" t="s">
        <v>250</v>
      </c>
      <c r="D18" s="17" t="s">
        <v>248</v>
      </c>
      <c r="E18" s="17" t="s">
        <v>249</v>
      </c>
      <c r="F18" s="17" t="s">
        <v>237</v>
      </c>
    </row>
    <row r="19" spans="1:6" x14ac:dyDescent="0.25">
      <c r="A19" s="17" t="s">
        <v>238</v>
      </c>
      <c r="B19" s="17" t="s">
        <v>251</v>
      </c>
      <c r="C19" s="17" t="s">
        <v>252</v>
      </c>
      <c r="D19" s="17" t="s">
        <v>248</v>
      </c>
      <c r="E19" s="17" t="s">
        <v>249</v>
      </c>
      <c r="F19" s="17" t="s">
        <v>237</v>
      </c>
    </row>
    <row r="20" spans="1:6" x14ac:dyDescent="0.25">
      <c r="A20" s="17" t="s">
        <v>238</v>
      </c>
      <c r="B20" s="17" t="s">
        <v>251</v>
      </c>
      <c r="C20" s="17" t="s">
        <v>253</v>
      </c>
      <c r="D20" s="17" t="s">
        <v>248</v>
      </c>
      <c r="E20" s="17" t="s">
        <v>249</v>
      </c>
      <c r="F20" s="17" t="s">
        <v>237</v>
      </c>
    </row>
    <row r="21" spans="1:6" x14ac:dyDescent="0.25">
      <c r="A21" s="17" t="s">
        <v>254</v>
      </c>
      <c r="B21" s="17" t="s">
        <v>479</v>
      </c>
      <c r="C21" s="17" t="s">
        <v>255</v>
      </c>
      <c r="D21" s="17" t="s">
        <v>256</v>
      </c>
      <c r="E21" s="17" t="s">
        <v>257</v>
      </c>
      <c r="F21" s="17" t="s">
        <v>237</v>
      </c>
    </row>
    <row r="22" spans="1:6" x14ac:dyDescent="0.25">
      <c r="A22" s="17" t="s">
        <v>254</v>
      </c>
      <c r="B22" s="78" t="s">
        <v>479</v>
      </c>
      <c r="C22" s="17" t="s">
        <v>258</v>
      </c>
      <c r="D22" s="17" t="s">
        <v>259</v>
      </c>
      <c r="E22" s="17" t="s">
        <v>257</v>
      </c>
      <c r="F22" s="17" t="s">
        <v>237</v>
      </c>
    </row>
    <row r="23" spans="1:6" x14ac:dyDescent="0.25">
      <c r="A23" s="17" t="s">
        <v>254</v>
      </c>
      <c r="B23" s="17" t="s">
        <v>260</v>
      </c>
      <c r="C23" s="17" t="s">
        <v>261</v>
      </c>
      <c r="D23" s="17" t="s">
        <v>262</v>
      </c>
      <c r="E23" s="17" t="s">
        <v>263</v>
      </c>
      <c r="F23" s="17" t="s">
        <v>237</v>
      </c>
    </row>
    <row r="24" spans="1:6" x14ac:dyDescent="0.25">
      <c r="A24" s="17" t="s">
        <v>254</v>
      </c>
      <c r="B24" s="17" t="s">
        <v>260</v>
      </c>
      <c r="C24" s="17" t="s">
        <v>264</v>
      </c>
      <c r="D24" s="17" t="s">
        <v>265</v>
      </c>
      <c r="E24" s="17" t="s">
        <v>266</v>
      </c>
      <c r="F24" s="17" t="s">
        <v>237</v>
      </c>
    </row>
    <row r="25" spans="1:6" ht="15.75" x14ac:dyDescent="0.25">
      <c r="A25" s="69" t="s">
        <v>927</v>
      </c>
      <c r="B25" s="17" t="s">
        <v>935</v>
      </c>
      <c r="C25" s="17" t="s">
        <v>267</v>
      </c>
      <c r="D25" s="17" t="s">
        <v>429</v>
      </c>
      <c r="E25" s="17" t="s">
        <v>268</v>
      </c>
      <c r="F25" s="17" t="s">
        <v>237</v>
      </c>
    </row>
    <row r="26" spans="1:6" ht="15.75" x14ac:dyDescent="0.25">
      <c r="A26" s="69" t="s">
        <v>927</v>
      </c>
      <c r="B26" s="78" t="s">
        <v>935</v>
      </c>
      <c r="C26" s="17" t="s">
        <v>269</v>
      </c>
      <c r="D26" s="17" t="s">
        <v>432</v>
      </c>
      <c r="E26" s="17" t="s">
        <v>270</v>
      </c>
      <c r="F26" s="17" t="s">
        <v>237</v>
      </c>
    </row>
    <row r="27" spans="1:6" ht="15.75" x14ac:dyDescent="0.25">
      <c r="A27" s="69" t="s">
        <v>927</v>
      </c>
      <c r="B27" s="78" t="s">
        <v>935</v>
      </c>
      <c r="C27" s="17" t="s">
        <v>271</v>
      </c>
      <c r="D27" s="17" t="s">
        <v>434</v>
      </c>
      <c r="E27" s="17" t="s">
        <v>272</v>
      </c>
      <c r="F27" s="17" t="s">
        <v>237</v>
      </c>
    </row>
    <row r="28" spans="1:6" x14ac:dyDescent="0.25">
      <c r="A28" s="17" t="s">
        <v>275</v>
      </c>
      <c r="B28" s="17" t="s">
        <v>385</v>
      </c>
      <c r="C28" s="17" t="s">
        <v>386</v>
      </c>
      <c r="D28" s="69" t="s">
        <v>387</v>
      </c>
      <c r="E28" s="17" t="s">
        <v>388</v>
      </c>
      <c r="F28" s="78" t="s">
        <v>237</v>
      </c>
    </row>
    <row r="29" spans="1:6" x14ac:dyDescent="0.25">
      <c r="A29" s="83" t="s">
        <v>275</v>
      </c>
      <c r="B29" s="83" t="s">
        <v>385</v>
      </c>
      <c r="C29" s="83" t="s">
        <v>389</v>
      </c>
      <c r="D29" s="69" t="s">
        <v>262</v>
      </c>
      <c r="E29" s="83" t="s">
        <v>390</v>
      </c>
      <c r="F29" s="83" t="s">
        <v>237</v>
      </c>
    </row>
    <row r="30" spans="1:6" x14ac:dyDescent="0.25">
      <c r="A30" s="17" t="s">
        <v>273</v>
      </c>
      <c r="B30" s="83" t="s">
        <v>273</v>
      </c>
      <c r="C30" s="17" t="s">
        <v>687</v>
      </c>
      <c r="D30" s="17" t="s">
        <v>891</v>
      </c>
      <c r="E30" s="17" t="s">
        <v>688</v>
      </c>
      <c r="F30" s="17" t="s">
        <v>237</v>
      </c>
    </row>
    <row r="31" spans="1:6" x14ac:dyDescent="0.25">
      <c r="A31" s="83" t="s">
        <v>273</v>
      </c>
      <c r="B31" s="83" t="s">
        <v>273</v>
      </c>
      <c r="C31" s="83" t="s">
        <v>690</v>
      </c>
      <c r="D31" s="83" t="s">
        <v>892</v>
      </c>
      <c r="E31" s="83" t="s">
        <v>688</v>
      </c>
      <c r="F31" s="83" t="s">
        <v>237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O8"/>
  <sheetViews>
    <sheetView workbookViewId="0">
      <selection activeCell="R16" sqref="R16"/>
    </sheetView>
  </sheetViews>
  <sheetFormatPr defaultRowHeight="15" x14ac:dyDescent="0.25"/>
  <cols>
    <col min="15" max="15" width="15.28515625" bestFit="1" customWidth="1"/>
  </cols>
  <sheetData>
    <row r="1" spans="1:15" x14ac:dyDescent="0.25">
      <c r="A1" s="29" t="s">
        <v>357</v>
      </c>
      <c r="B1" s="15" t="s">
        <v>358</v>
      </c>
      <c r="C1" s="15" t="s">
        <v>359</v>
      </c>
      <c r="D1" s="15" t="s">
        <v>360</v>
      </c>
      <c r="E1" s="15" t="s">
        <v>361</v>
      </c>
      <c r="F1" s="15" t="s">
        <v>362</v>
      </c>
      <c r="G1" s="15" t="s">
        <v>363</v>
      </c>
      <c r="H1" s="15" t="s">
        <v>364</v>
      </c>
      <c r="I1" s="15" t="s">
        <v>365</v>
      </c>
      <c r="J1" s="15" t="s">
        <v>366</v>
      </c>
      <c r="K1" s="15" t="s">
        <v>367</v>
      </c>
      <c r="L1" s="15" t="s">
        <v>368</v>
      </c>
      <c r="M1" s="15" t="s">
        <v>369</v>
      </c>
      <c r="N1" s="15" t="s">
        <v>370</v>
      </c>
      <c r="O1" s="15" t="s">
        <v>1042</v>
      </c>
    </row>
    <row r="2" spans="1:15" x14ac:dyDescent="0.25">
      <c r="A2" s="40" t="s">
        <v>973</v>
      </c>
      <c r="B2" s="19">
        <v>-0.52</v>
      </c>
      <c r="C2" s="19">
        <v>-0.02</v>
      </c>
      <c r="D2" s="19">
        <v>0</v>
      </c>
      <c r="E2" s="19">
        <v>45.25</v>
      </c>
      <c r="F2" s="19">
        <v>-0.1</v>
      </c>
      <c r="G2" s="19">
        <v>-0.77</v>
      </c>
      <c r="H2" s="19">
        <v>-2.41</v>
      </c>
      <c r="I2" s="19">
        <v>-0.46</v>
      </c>
      <c r="J2" s="19">
        <v>-0.46</v>
      </c>
      <c r="K2" s="19">
        <v>0.19</v>
      </c>
      <c r="L2" s="19">
        <v>-5.0999999999999996</v>
      </c>
      <c r="M2" s="19">
        <v>-7.0000000000000007E-2</v>
      </c>
      <c r="N2" s="19">
        <v>-0.02</v>
      </c>
      <c r="O2" s="49">
        <v>55.35</v>
      </c>
    </row>
    <row r="3" spans="1:15" x14ac:dyDescent="0.25">
      <c r="A3" s="40" t="s">
        <v>974</v>
      </c>
      <c r="B3" s="19">
        <v>1.76</v>
      </c>
      <c r="C3" s="19">
        <v>-8.7899999999999991</v>
      </c>
      <c r="D3" s="19">
        <v>-19.3</v>
      </c>
      <c r="E3" s="19">
        <v>-361.02</v>
      </c>
      <c r="F3" s="19">
        <v>1.74</v>
      </c>
      <c r="G3" s="19">
        <v>0.23</v>
      </c>
      <c r="H3" s="19">
        <v>3.27</v>
      </c>
      <c r="I3" s="19">
        <v>14.74</v>
      </c>
      <c r="J3" s="19">
        <v>1.21</v>
      </c>
      <c r="K3" s="19">
        <v>-11.31</v>
      </c>
      <c r="L3" s="19">
        <v>446.7</v>
      </c>
      <c r="M3" s="19">
        <v>0.18</v>
      </c>
      <c r="N3" s="19">
        <v>0.03</v>
      </c>
      <c r="O3" s="49">
        <v>870.27</v>
      </c>
    </row>
    <row r="4" spans="1:15" x14ac:dyDescent="0.25">
      <c r="A4" s="40" t="s">
        <v>975</v>
      </c>
      <c r="B4" s="19">
        <v>-0.01</v>
      </c>
      <c r="C4" s="19">
        <v>0.02</v>
      </c>
      <c r="D4" s="19">
        <v>0</v>
      </c>
      <c r="E4" s="19">
        <v>50.59</v>
      </c>
      <c r="F4" s="19">
        <v>0.02</v>
      </c>
      <c r="G4" s="19">
        <v>0.09</v>
      </c>
      <c r="H4" s="19">
        <v>10.11</v>
      </c>
      <c r="I4" s="19">
        <v>93.62</v>
      </c>
      <c r="J4" s="19">
        <v>0.06</v>
      </c>
      <c r="K4" s="19">
        <v>0</v>
      </c>
      <c r="L4" s="19">
        <v>2221.5500000000002</v>
      </c>
      <c r="M4" s="19">
        <v>-0.02</v>
      </c>
      <c r="N4" s="19">
        <v>0</v>
      </c>
      <c r="O4" s="49">
        <v>2376.0700000000002</v>
      </c>
    </row>
    <row r="5" spans="1:15" x14ac:dyDescent="0.25">
      <c r="A5" s="40" t="s">
        <v>976</v>
      </c>
      <c r="B5" s="19">
        <v>0.01</v>
      </c>
      <c r="C5" s="19">
        <v>-0.03</v>
      </c>
      <c r="D5" s="19">
        <v>0.01</v>
      </c>
      <c r="E5" s="19">
        <v>45.44</v>
      </c>
      <c r="F5" s="19">
        <v>0.03</v>
      </c>
      <c r="G5" s="19">
        <v>-0.37</v>
      </c>
      <c r="H5" s="19">
        <v>0.48</v>
      </c>
      <c r="I5" s="19">
        <v>0.1</v>
      </c>
      <c r="J5" s="19">
        <v>0.05</v>
      </c>
      <c r="K5" s="19">
        <v>-0.3</v>
      </c>
      <c r="L5" s="19">
        <v>3.99</v>
      </c>
      <c r="M5" s="19">
        <v>0.11</v>
      </c>
      <c r="N5" s="19">
        <v>0.09</v>
      </c>
      <c r="O5" s="49">
        <v>51.01</v>
      </c>
    </row>
    <row r="6" spans="1:15" x14ac:dyDescent="0.25">
      <c r="A6" s="40" t="s">
        <v>977</v>
      </c>
      <c r="B6" s="19">
        <v>-0.05</v>
      </c>
      <c r="C6" s="19">
        <v>1.08</v>
      </c>
      <c r="D6" s="19">
        <v>0.01</v>
      </c>
      <c r="E6" s="19">
        <v>45.5</v>
      </c>
      <c r="F6" s="19">
        <v>0.2</v>
      </c>
      <c r="G6" s="19">
        <v>0.69</v>
      </c>
      <c r="H6" s="19">
        <v>0.32</v>
      </c>
      <c r="I6" s="19">
        <v>6.44</v>
      </c>
      <c r="J6" s="19">
        <v>-0.09</v>
      </c>
      <c r="K6" s="19">
        <v>0.08</v>
      </c>
      <c r="L6" s="19">
        <v>199.25</v>
      </c>
      <c r="M6" s="19">
        <v>0.02</v>
      </c>
      <c r="N6" s="19">
        <v>0</v>
      </c>
      <c r="O6" s="49">
        <v>253.72</v>
      </c>
    </row>
    <row r="7" spans="1:15" x14ac:dyDescent="0.25">
      <c r="A7" s="40" t="s">
        <v>978</v>
      </c>
      <c r="B7" s="100">
        <v>-2.82</v>
      </c>
      <c r="C7" s="19">
        <v>-2.44</v>
      </c>
      <c r="D7" s="19">
        <v>-10.66</v>
      </c>
      <c r="E7" s="19">
        <v>-467</v>
      </c>
      <c r="F7" s="19">
        <v>-5.21</v>
      </c>
      <c r="G7" s="100">
        <v>5.5</v>
      </c>
      <c r="H7" s="19">
        <v>9.42</v>
      </c>
      <c r="I7" s="19">
        <v>3.89</v>
      </c>
      <c r="J7" s="19">
        <v>5.96</v>
      </c>
      <c r="K7" s="19">
        <v>-5.1100000000000003</v>
      </c>
      <c r="L7" s="19">
        <v>75.88</v>
      </c>
      <c r="M7" s="19">
        <v>1.37</v>
      </c>
      <c r="N7" s="19">
        <v>0.11</v>
      </c>
      <c r="O7" s="49">
        <v>595.37</v>
      </c>
    </row>
    <row r="8" spans="1:15" x14ac:dyDescent="0.25">
      <c r="A8" s="40" t="s">
        <v>979</v>
      </c>
      <c r="B8" s="19">
        <v>0.38</v>
      </c>
      <c r="C8" s="19">
        <v>1.38</v>
      </c>
      <c r="D8" s="19">
        <v>0.06</v>
      </c>
      <c r="E8" s="19">
        <v>45.92</v>
      </c>
      <c r="F8" s="19">
        <v>0.6</v>
      </c>
      <c r="G8" s="19">
        <v>1.74</v>
      </c>
      <c r="H8" s="19">
        <v>4.49</v>
      </c>
      <c r="I8" s="19">
        <v>6.17</v>
      </c>
      <c r="J8" s="19">
        <v>0.94</v>
      </c>
      <c r="K8" s="19">
        <v>0.36</v>
      </c>
      <c r="L8" s="19">
        <v>206.22</v>
      </c>
      <c r="M8" s="19">
        <v>0.28000000000000003</v>
      </c>
      <c r="N8" s="19">
        <v>0.01</v>
      </c>
      <c r="O8" s="49">
        <v>268.56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O26"/>
  <sheetViews>
    <sheetView topLeftCell="F1" workbookViewId="0">
      <selection activeCell="W15" sqref="W15"/>
    </sheetView>
  </sheetViews>
  <sheetFormatPr defaultRowHeight="15" x14ac:dyDescent="0.25"/>
  <cols>
    <col min="2" max="2" width="10.85546875" customWidth="1"/>
  </cols>
  <sheetData>
    <row r="1" spans="1:15" x14ac:dyDescent="0.25">
      <c r="A1" s="29" t="s">
        <v>357</v>
      </c>
      <c r="B1" s="15" t="s">
        <v>358</v>
      </c>
      <c r="C1" s="15" t="s">
        <v>359</v>
      </c>
      <c r="D1" s="15" t="s">
        <v>360</v>
      </c>
      <c r="E1" s="15" t="s">
        <v>361</v>
      </c>
      <c r="F1" s="15" t="s">
        <v>362</v>
      </c>
      <c r="G1" s="15" t="s">
        <v>363</v>
      </c>
      <c r="H1" s="15" t="s">
        <v>364</v>
      </c>
      <c r="I1" s="15" t="s">
        <v>365</v>
      </c>
      <c r="J1" s="15" t="s">
        <v>372</v>
      </c>
      <c r="K1" s="15" t="s">
        <v>367</v>
      </c>
      <c r="L1" s="15" t="s">
        <v>368</v>
      </c>
      <c r="M1" s="15" t="s">
        <v>369</v>
      </c>
      <c r="N1" s="15" t="s">
        <v>370</v>
      </c>
      <c r="O1" s="15" t="s">
        <v>371</v>
      </c>
    </row>
    <row r="2" spans="1:15" x14ac:dyDescent="0.25">
      <c r="A2" s="99" t="s">
        <v>973</v>
      </c>
      <c r="B2" s="36">
        <v>8.9999999999999993E-3</v>
      </c>
      <c r="C2" s="36">
        <v>0</v>
      </c>
      <c r="D2" s="36">
        <v>0</v>
      </c>
      <c r="E2" s="36">
        <v>0.81699999999999995</v>
      </c>
      <c r="F2" s="36">
        <v>2E-3</v>
      </c>
      <c r="G2" s="36">
        <v>1.4E-2</v>
      </c>
      <c r="H2" s="36">
        <v>4.3999999999999997E-2</v>
      </c>
      <c r="I2" s="36">
        <v>8.0000000000000002E-3</v>
      </c>
      <c r="J2" s="36">
        <v>8.0000000000000002E-3</v>
      </c>
      <c r="K2" s="36">
        <v>3.0000000000000001E-3</v>
      </c>
      <c r="L2" s="36">
        <v>9.1999999999999998E-2</v>
      </c>
      <c r="M2" s="36">
        <v>1E-3</v>
      </c>
      <c r="N2" s="36">
        <v>0</v>
      </c>
      <c r="O2" s="37">
        <v>1</v>
      </c>
    </row>
    <row r="3" spans="1:15" x14ac:dyDescent="0.25">
      <c r="A3" s="99" t="s">
        <v>974</v>
      </c>
      <c r="B3" s="36">
        <v>2E-3</v>
      </c>
      <c r="C3" s="36">
        <v>0.01</v>
      </c>
      <c r="D3" s="36">
        <v>2.1999999999999999E-2</v>
      </c>
      <c r="E3" s="36">
        <v>0.41499999999999998</v>
      </c>
      <c r="F3" s="36">
        <v>2E-3</v>
      </c>
      <c r="G3" s="36">
        <v>0</v>
      </c>
      <c r="H3" s="36">
        <v>4.0000000000000001E-3</v>
      </c>
      <c r="I3" s="36">
        <v>1.7000000000000001E-2</v>
      </c>
      <c r="J3" s="36">
        <v>1E-3</v>
      </c>
      <c r="K3" s="36">
        <v>1.2999999999999999E-2</v>
      </c>
      <c r="L3" s="36">
        <v>0.51300000000000001</v>
      </c>
      <c r="M3" s="36">
        <v>0</v>
      </c>
      <c r="N3" s="36">
        <v>0</v>
      </c>
      <c r="O3" s="37">
        <v>1</v>
      </c>
    </row>
    <row r="4" spans="1:15" x14ac:dyDescent="0.25">
      <c r="A4" s="99" t="s">
        <v>975</v>
      </c>
      <c r="B4" s="36">
        <v>0</v>
      </c>
      <c r="C4" s="36">
        <v>0</v>
      </c>
      <c r="D4" s="36">
        <v>0</v>
      </c>
      <c r="E4" s="36">
        <v>2.1000000000000001E-2</v>
      </c>
      <c r="F4" s="36">
        <v>0</v>
      </c>
      <c r="G4" s="36">
        <v>0</v>
      </c>
      <c r="H4" s="36">
        <v>4.0000000000000001E-3</v>
      </c>
      <c r="I4" s="36">
        <v>3.9E-2</v>
      </c>
      <c r="J4" s="36">
        <v>0</v>
      </c>
      <c r="K4" s="36">
        <v>0</v>
      </c>
      <c r="L4" s="36">
        <v>0.93500000000000005</v>
      </c>
      <c r="M4" s="36">
        <v>0</v>
      </c>
      <c r="N4" s="36">
        <v>0</v>
      </c>
      <c r="O4" s="37">
        <v>1</v>
      </c>
    </row>
    <row r="5" spans="1:15" x14ac:dyDescent="0.25">
      <c r="A5" s="99" t="s">
        <v>976</v>
      </c>
      <c r="B5" s="36">
        <v>0</v>
      </c>
      <c r="C5" s="36">
        <v>1E-3</v>
      </c>
      <c r="D5" s="36">
        <v>0</v>
      </c>
      <c r="E5" s="36">
        <v>0.89100000000000001</v>
      </c>
      <c r="F5" s="36">
        <v>1E-3</v>
      </c>
      <c r="G5" s="36">
        <v>7.0000000000000001E-3</v>
      </c>
      <c r="H5" s="36">
        <v>8.9999999999999993E-3</v>
      </c>
      <c r="I5" s="36">
        <v>2E-3</v>
      </c>
      <c r="J5" s="36">
        <v>1E-3</v>
      </c>
      <c r="K5" s="36">
        <v>6.0000000000000001E-3</v>
      </c>
      <c r="L5" s="36">
        <v>7.8E-2</v>
      </c>
      <c r="M5" s="36">
        <v>2E-3</v>
      </c>
      <c r="N5" s="36">
        <v>2E-3</v>
      </c>
      <c r="O5" s="37">
        <v>1</v>
      </c>
    </row>
    <row r="6" spans="1:15" x14ac:dyDescent="0.25">
      <c r="A6" s="99" t="s">
        <v>977</v>
      </c>
      <c r="B6" s="36">
        <v>0</v>
      </c>
      <c r="C6" s="36">
        <v>4.0000000000000001E-3</v>
      </c>
      <c r="D6" s="36">
        <v>0</v>
      </c>
      <c r="E6" s="36">
        <v>0.17899999999999999</v>
      </c>
      <c r="F6" s="36">
        <v>1E-3</v>
      </c>
      <c r="G6" s="36">
        <v>3.0000000000000001E-3</v>
      </c>
      <c r="H6" s="36">
        <v>1E-3</v>
      </c>
      <c r="I6" s="36">
        <v>2.5000000000000001E-2</v>
      </c>
      <c r="J6" s="36">
        <v>0</v>
      </c>
      <c r="K6" s="36">
        <v>0</v>
      </c>
      <c r="L6" s="36">
        <v>0.78500000000000003</v>
      </c>
      <c r="M6" s="36">
        <v>0</v>
      </c>
      <c r="N6" s="36">
        <v>0</v>
      </c>
      <c r="O6" s="37">
        <v>1</v>
      </c>
    </row>
    <row r="7" spans="1:15" x14ac:dyDescent="0.25">
      <c r="A7" s="99" t="s">
        <v>978</v>
      </c>
      <c r="B7" s="36">
        <v>5.0000000000000001E-3</v>
      </c>
      <c r="C7" s="36">
        <v>4.0000000000000001E-3</v>
      </c>
      <c r="D7" s="36">
        <v>1.7999999999999999E-2</v>
      </c>
      <c r="E7" s="36">
        <v>0.78400000000000003</v>
      </c>
      <c r="F7" s="36">
        <v>8.9999999999999993E-3</v>
      </c>
      <c r="G7" s="36">
        <v>8.9999999999999993E-3</v>
      </c>
      <c r="H7" s="36">
        <v>1.6E-2</v>
      </c>
      <c r="I7" s="36">
        <v>7.0000000000000001E-3</v>
      </c>
      <c r="J7" s="36">
        <v>0.01</v>
      </c>
      <c r="K7" s="36">
        <v>8.9999999999999993E-3</v>
      </c>
      <c r="L7" s="36">
        <v>0.127</v>
      </c>
      <c r="M7" s="36">
        <v>2E-3</v>
      </c>
      <c r="N7" s="36">
        <v>0</v>
      </c>
      <c r="O7" s="37">
        <v>1</v>
      </c>
    </row>
    <row r="8" spans="1:15" x14ac:dyDescent="0.25">
      <c r="A8" s="99" t="s">
        <v>979</v>
      </c>
      <c r="B8" s="36">
        <v>1E-3</v>
      </c>
      <c r="C8" s="36">
        <v>5.0000000000000001E-3</v>
      </c>
      <c r="D8" s="36">
        <v>0</v>
      </c>
      <c r="E8" s="36">
        <v>0.17100000000000001</v>
      </c>
      <c r="F8" s="36">
        <v>2E-3</v>
      </c>
      <c r="G8" s="36">
        <v>6.0000000000000001E-3</v>
      </c>
      <c r="H8" s="36">
        <v>1.7000000000000001E-2</v>
      </c>
      <c r="I8" s="36">
        <v>2.3E-2</v>
      </c>
      <c r="J8" s="36">
        <v>4.0000000000000001E-3</v>
      </c>
      <c r="K8" s="36">
        <v>1E-3</v>
      </c>
      <c r="L8" s="36">
        <v>0.76800000000000002</v>
      </c>
      <c r="M8" s="36">
        <v>1E-3</v>
      </c>
      <c r="N8" s="36">
        <v>0</v>
      </c>
      <c r="O8" s="37">
        <v>1</v>
      </c>
    </row>
    <row r="10" spans="1:15" x14ac:dyDescent="0.25">
      <c r="A10" s="96"/>
      <c r="B10" s="101"/>
      <c r="C10" s="101"/>
      <c r="D10" s="101"/>
      <c r="E10" s="101"/>
      <c r="F10" s="101"/>
      <c r="G10" s="101"/>
      <c r="H10" s="101"/>
      <c r="I10" s="101"/>
      <c r="J10" s="101"/>
      <c r="K10" s="101"/>
      <c r="L10" s="101"/>
      <c r="M10" s="101"/>
      <c r="N10" s="101"/>
      <c r="O10" s="101"/>
    </row>
    <row r="11" spans="1:15" x14ac:dyDescent="0.25">
      <c r="A11" s="96"/>
      <c r="B11" s="101"/>
      <c r="C11" s="101"/>
      <c r="D11" s="101"/>
      <c r="E11" s="101"/>
      <c r="F11" s="101"/>
      <c r="G11" s="101"/>
      <c r="H11" s="101"/>
      <c r="I11" s="101"/>
      <c r="J11" s="101"/>
      <c r="K11" s="101"/>
      <c r="L11" s="101"/>
      <c r="M11" s="101"/>
      <c r="N11" s="101"/>
      <c r="O11" s="101"/>
    </row>
    <row r="12" spans="1:15" x14ac:dyDescent="0.25">
      <c r="A12" s="96"/>
      <c r="B12" s="101"/>
      <c r="C12" s="101"/>
      <c r="D12" s="101"/>
      <c r="E12" s="101"/>
      <c r="F12" s="101"/>
      <c r="G12" s="101"/>
      <c r="H12" s="101"/>
      <c r="I12" s="101"/>
      <c r="J12" s="101"/>
      <c r="K12" s="101"/>
      <c r="L12" s="101"/>
      <c r="M12" s="101"/>
      <c r="N12" s="101"/>
      <c r="O12" s="101"/>
    </row>
    <row r="13" spans="1:15" x14ac:dyDescent="0.25">
      <c r="B13" s="101"/>
      <c r="C13" s="101"/>
      <c r="D13" s="101"/>
      <c r="E13" s="101"/>
      <c r="F13" s="101"/>
      <c r="G13" s="101"/>
      <c r="H13" s="101"/>
      <c r="I13" s="101"/>
      <c r="J13" s="101"/>
      <c r="K13" s="101"/>
      <c r="L13" s="101"/>
      <c r="M13" s="101"/>
      <c r="N13" s="101"/>
      <c r="O13" s="101"/>
    </row>
    <row r="14" spans="1:15" x14ac:dyDescent="0.25">
      <c r="B14" s="101"/>
      <c r="C14" s="101"/>
      <c r="D14" s="101"/>
      <c r="E14" s="101"/>
      <c r="F14" s="101"/>
      <c r="G14" s="101"/>
      <c r="H14" s="101"/>
      <c r="I14" s="101"/>
      <c r="J14" s="101"/>
      <c r="K14" s="101"/>
      <c r="L14" s="101"/>
      <c r="M14" s="101"/>
      <c r="N14" s="101"/>
      <c r="O14" s="101"/>
    </row>
    <row r="15" spans="1:15" x14ac:dyDescent="0.25">
      <c r="B15" s="101"/>
      <c r="C15" s="101"/>
      <c r="D15" s="101"/>
      <c r="E15" s="101"/>
      <c r="F15" s="101"/>
      <c r="G15" s="101"/>
      <c r="H15" s="101"/>
      <c r="I15" s="101"/>
      <c r="J15" s="101"/>
      <c r="K15" s="101"/>
      <c r="L15" s="101"/>
      <c r="M15" s="101"/>
      <c r="N15" s="101"/>
      <c r="O15" s="101"/>
    </row>
    <row r="16" spans="1:15" x14ac:dyDescent="0.25">
      <c r="B16" s="101"/>
      <c r="C16" s="101"/>
      <c r="D16" s="101"/>
      <c r="E16" s="101"/>
      <c r="F16" s="101"/>
      <c r="G16" s="101"/>
      <c r="H16" s="101"/>
      <c r="I16" s="101"/>
      <c r="J16" s="101"/>
      <c r="K16" s="101"/>
      <c r="L16" s="101"/>
      <c r="M16" s="101"/>
      <c r="N16" s="101"/>
      <c r="O16" s="101"/>
    </row>
    <row r="17" spans="2:15" x14ac:dyDescent="0.25">
      <c r="B17" s="101"/>
      <c r="C17" s="101"/>
      <c r="D17" s="101"/>
      <c r="E17" s="101"/>
      <c r="F17" s="101"/>
      <c r="G17" s="101"/>
      <c r="H17" s="101"/>
      <c r="I17" s="101"/>
      <c r="J17" s="101"/>
      <c r="K17" s="101"/>
      <c r="L17" s="101"/>
      <c r="M17" s="101"/>
      <c r="N17" s="101"/>
      <c r="O17" s="101"/>
    </row>
    <row r="18" spans="2:15" x14ac:dyDescent="0.25">
      <c r="B18" s="101"/>
      <c r="C18" s="101"/>
      <c r="D18" s="101"/>
      <c r="E18" s="101"/>
      <c r="F18" s="101"/>
      <c r="G18" s="101"/>
      <c r="H18" s="101"/>
      <c r="I18" s="101"/>
      <c r="J18" s="101"/>
      <c r="K18" s="101"/>
      <c r="L18" s="101"/>
      <c r="M18" s="101"/>
      <c r="N18" s="101"/>
      <c r="O18" s="101"/>
    </row>
    <row r="19" spans="2:15" x14ac:dyDescent="0.25">
      <c r="B19" s="84"/>
      <c r="C19" s="84"/>
      <c r="D19" s="84"/>
      <c r="E19" s="84"/>
      <c r="F19" s="84"/>
      <c r="G19" s="84"/>
      <c r="H19" s="84"/>
      <c r="I19" s="84"/>
      <c r="J19" s="84"/>
      <c r="K19" s="84"/>
      <c r="L19" s="84"/>
      <c r="M19" s="84"/>
      <c r="N19" s="84"/>
      <c r="O19" s="84"/>
    </row>
    <row r="20" spans="2:15" x14ac:dyDescent="0.25">
      <c r="B20" s="84"/>
      <c r="C20" s="84"/>
      <c r="D20" s="84"/>
      <c r="E20" s="84"/>
      <c r="F20" s="84"/>
      <c r="G20" s="84"/>
      <c r="H20" s="84"/>
      <c r="I20" s="84"/>
      <c r="J20" s="84"/>
      <c r="K20" s="84"/>
      <c r="L20" s="84"/>
      <c r="M20" s="84"/>
      <c r="N20" s="84"/>
      <c r="O20" s="84"/>
    </row>
    <row r="21" spans="2:15" x14ac:dyDescent="0.25">
      <c r="B21" s="84"/>
      <c r="C21" s="84"/>
      <c r="D21" s="84"/>
      <c r="E21" s="84"/>
      <c r="F21" s="84"/>
      <c r="G21" s="84"/>
      <c r="H21" s="84"/>
      <c r="I21" s="84"/>
      <c r="J21" s="84"/>
      <c r="K21" s="84"/>
      <c r="L21" s="84"/>
      <c r="M21" s="84"/>
      <c r="N21" s="84"/>
      <c r="O21" s="84"/>
    </row>
    <row r="22" spans="2:15" x14ac:dyDescent="0.25">
      <c r="B22" s="84"/>
      <c r="C22" s="84"/>
      <c r="D22" s="84"/>
      <c r="E22" s="84"/>
      <c r="F22" s="84"/>
      <c r="G22" s="84"/>
      <c r="H22" s="84"/>
      <c r="I22" s="84"/>
      <c r="J22" s="84"/>
      <c r="K22" s="84"/>
      <c r="L22" s="84"/>
      <c r="M22" s="84"/>
      <c r="N22" s="84"/>
      <c r="O22" s="84"/>
    </row>
    <row r="23" spans="2:15" x14ac:dyDescent="0.25">
      <c r="B23" s="84"/>
      <c r="C23" s="84"/>
      <c r="D23" s="84"/>
      <c r="E23" s="84"/>
      <c r="F23" s="84"/>
      <c r="G23" s="84"/>
      <c r="H23" s="84"/>
      <c r="I23" s="84"/>
      <c r="J23" s="84"/>
      <c r="K23" s="84"/>
      <c r="L23" s="84"/>
      <c r="M23" s="84"/>
      <c r="N23" s="84"/>
      <c r="O23" s="84"/>
    </row>
    <row r="24" spans="2:15" x14ac:dyDescent="0.25">
      <c r="B24" s="84"/>
      <c r="C24" s="84"/>
      <c r="D24" s="84"/>
      <c r="E24" s="84"/>
      <c r="F24" s="84"/>
      <c r="G24" s="84"/>
      <c r="H24" s="84"/>
      <c r="I24" s="84"/>
      <c r="J24" s="84"/>
      <c r="K24" s="84"/>
      <c r="L24" s="84"/>
      <c r="M24" s="84"/>
      <c r="N24" s="84"/>
      <c r="O24" s="84"/>
    </row>
    <row r="25" spans="2:15" x14ac:dyDescent="0.25">
      <c r="B25" s="84"/>
      <c r="C25" s="84"/>
      <c r="D25" s="84"/>
      <c r="E25" s="84"/>
      <c r="F25" s="84"/>
      <c r="G25" s="84"/>
      <c r="H25" s="84"/>
      <c r="I25" s="84"/>
      <c r="J25" s="84"/>
      <c r="K25" s="84"/>
      <c r="L25" s="84"/>
      <c r="M25" s="84"/>
      <c r="N25" s="84"/>
      <c r="O25" s="84"/>
    </row>
    <row r="26" spans="2:15" x14ac:dyDescent="0.25">
      <c r="B26" s="127"/>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R29"/>
  <sheetViews>
    <sheetView workbookViewId="0">
      <selection activeCell="R21" sqref="R21"/>
    </sheetView>
  </sheetViews>
  <sheetFormatPr defaultRowHeight="15" x14ac:dyDescent="0.25"/>
  <cols>
    <col min="15" max="15" width="15.28515625" bestFit="1" customWidth="1"/>
  </cols>
  <sheetData>
    <row r="1" spans="1:18" x14ac:dyDescent="0.25">
      <c r="A1" s="29" t="s">
        <v>357</v>
      </c>
      <c r="B1" s="15" t="s">
        <v>358</v>
      </c>
      <c r="C1" s="15" t="s">
        <v>359</v>
      </c>
      <c r="D1" s="15" t="s">
        <v>360</v>
      </c>
      <c r="E1" s="15" t="s">
        <v>361</v>
      </c>
      <c r="F1" s="15" t="s">
        <v>362</v>
      </c>
      <c r="G1" s="15" t="s">
        <v>363</v>
      </c>
      <c r="H1" s="15" t="s">
        <v>364</v>
      </c>
      <c r="I1" s="15" t="s">
        <v>365</v>
      </c>
      <c r="J1" s="15" t="s">
        <v>366</v>
      </c>
      <c r="K1" s="15" t="s">
        <v>367</v>
      </c>
      <c r="L1" s="15" t="s">
        <v>368</v>
      </c>
      <c r="M1" s="15" t="s">
        <v>369</v>
      </c>
      <c r="N1" s="15" t="s">
        <v>370</v>
      </c>
      <c r="O1" s="15" t="s">
        <v>1042</v>
      </c>
    </row>
    <row r="2" spans="1:18" x14ac:dyDescent="0.25">
      <c r="A2" s="99" t="s">
        <v>973</v>
      </c>
      <c r="B2" s="123">
        <v>-0.20717438334380953</v>
      </c>
      <c r="C2" s="123">
        <v>0.60224632404550016</v>
      </c>
      <c r="D2" s="123">
        <v>-5.1772646870996226</v>
      </c>
      <c r="E2" s="123">
        <v>-33.066265589089141</v>
      </c>
      <c r="F2" s="123">
        <v>0.38227324762239151</v>
      </c>
      <c r="G2" s="123">
        <v>0.42303955363974866</v>
      </c>
      <c r="H2" s="123">
        <v>9.3793223201151979E-2</v>
      </c>
      <c r="I2" s="123">
        <v>2.5715976742863074</v>
      </c>
      <c r="J2" s="123">
        <v>0.34393709674293182</v>
      </c>
      <c r="K2" s="123">
        <v>0.27104021395463801</v>
      </c>
      <c r="L2" s="123">
        <v>92.238025146283348</v>
      </c>
      <c r="M2" s="123">
        <v>9.5949060327682537E-2</v>
      </c>
      <c r="N2" s="123">
        <v>-2.9952845550458534E-3</v>
      </c>
      <c r="O2" s="49">
        <v>135.47560148419132</v>
      </c>
    </row>
    <row r="3" spans="1:18" x14ac:dyDescent="0.25">
      <c r="A3" s="99" t="s">
        <v>974</v>
      </c>
      <c r="B3" s="123">
        <v>1.5728333916422419</v>
      </c>
      <c r="C3" s="123">
        <v>-8.0668583950985564</v>
      </c>
      <c r="D3" s="123">
        <v>-22.993334774188018</v>
      </c>
      <c r="E3" s="123">
        <v>39.575344729438534</v>
      </c>
      <c r="F3" s="123">
        <v>2.024298253973662</v>
      </c>
      <c r="G3" s="123">
        <v>2.1444274311822609</v>
      </c>
      <c r="H3" s="123">
        <v>6.0943346479739837</v>
      </c>
      <c r="I3" s="123">
        <v>17.195689783197711</v>
      </c>
      <c r="J3" s="123">
        <v>1.839555155045816</v>
      </c>
      <c r="K3" s="123">
        <v>-11.221241738481503</v>
      </c>
      <c r="L3" s="123">
        <v>527.23944160438225</v>
      </c>
      <c r="M3" s="123">
        <v>0.32066130154919159</v>
      </c>
      <c r="N3" s="123">
        <v>3.8256640455758016E-2</v>
      </c>
      <c r="O3" s="49">
        <v>640.32627784660951</v>
      </c>
    </row>
    <row r="4" spans="1:18" x14ac:dyDescent="0.25">
      <c r="A4" s="99" t="s">
        <v>975</v>
      </c>
      <c r="B4" s="123">
        <v>0.42795282747093977</v>
      </c>
      <c r="C4" s="123">
        <v>-0.34083223339366547</v>
      </c>
      <c r="D4" s="123">
        <v>-25.525482493521427</v>
      </c>
      <c r="E4" s="123">
        <v>23.490282978035015</v>
      </c>
      <c r="F4" s="123">
        <v>1.2280071371884134</v>
      </c>
      <c r="G4" s="123">
        <v>2.24905047715436</v>
      </c>
      <c r="H4" s="123">
        <v>-7.38350086125104</v>
      </c>
      <c r="I4" s="123">
        <v>-29.087151963069964</v>
      </c>
      <c r="J4" s="123">
        <v>1.9509856949000477</v>
      </c>
      <c r="K4" s="123">
        <v>-1.4033311725578015</v>
      </c>
      <c r="L4" s="123">
        <v>-571.95614684506324</v>
      </c>
      <c r="M4" s="123">
        <v>0.26906764651671522</v>
      </c>
      <c r="N4" s="123">
        <v>3.65879604455999E-2</v>
      </c>
      <c r="O4" s="49">
        <v>665.34838029056823</v>
      </c>
    </row>
    <row r="5" spans="1:18" x14ac:dyDescent="0.25">
      <c r="A5" s="99" t="s">
        <v>976</v>
      </c>
      <c r="B5" s="123">
        <v>0.39867766285467099</v>
      </c>
      <c r="C5" s="123">
        <v>-0.351111668451908</v>
      </c>
      <c r="D5" s="123">
        <v>-22.736315588807837</v>
      </c>
      <c r="E5" s="123">
        <v>21.281232149014269</v>
      </c>
      <c r="F5" s="123">
        <v>1.1121957569214973</v>
      </c>
      <c r="G5" s="123">
        <v>1.5440148139742988</v>
      </c>
      <c r="H5" s="123">
        <v>-15.126181718197966</v>
      </c>
      <c r="I5" s="123">
        <v>-109.20634569703297</v>
      </c>
      <c r="J5" s="123">
        <v>1.7314869334303231</v>
      </c>
      <c r="K5" s="123">
        <v>-1.5601859921030821</v>
      </c>
      <c r="L5" s="123">
        <v>-2485.3750936680467</v>
      </c>
      <c r="M5" s="123">
        <v>0.37289793625014461</v>
      </c>
      <c r="N5" s="123">
        <v>0.12522030093825301</v>
      </c>
      <c r="O5" s="49">
        <v>2660.9209598860234</v>
      </c>
    </row>
    <row r="6" spans="1:18" x14ac:dyDescent="0.25">
      <c r="A6" s="99" t="s">
        <v>977</v>
      </c>
      <c r="B6" s="123">
        <v>1.3055792509710795</v>
      </c>
      <c r="C6" s="123">
        <v>1.0972887474644735</v>
      </c>
      <c r="D6" s="123">
        <v>-34.720970890970506</v>
      </c>
      <c r="E6" s="123">
        <v>19.031359721157369</v>
      </c>
      <c r="F6" s="123">
        <v>1.9610413066079062</v>
      </c>
      <c r="G6" s="123">
        <v>2.9513721019383645</v>
      </c>
      <c r="H6" s="123">
        <v>3.1006857579605378</v>
      </c>
      <c r="I6" s="123">
        <v>3.4997283859809434</v>
      </c>
      <c r="J6" s="123">
        <v>1.8428581139712008</v>
      </c>
      <c r="K6" s="123">
        <v>-0.61651214072541771</v>
      </c>
      <c r="L6" s="123">
        <v>95.976370229175572</v>
      </c>
      <c r="M6" s="123">
        <v>2.0663154221410462E-2</v>
      </c>
      <c r="N6" s="123">
        <v>3.8466227542836191E-2</v>
      </c>
      <c r="O6" s="49">
        <v>166.16289602868761</v>
      </c>
    </row>
    <row r="7" spans="1:18" x14ac:dyDescent="0.25">
      <c r="A7" s="99" t="s">
        <v>978</v>
      </c>
      <c r="B7" s="124">
        <v>-2.3758633075128719</v>
      </c>
      <c r="C7" s="123">
        <v>-1.8459618218120428</v>
      </c>
      <c r="D7" s="123">
        <v>-7.1560817968352559</v>
      </c>
      <c r="E7" s="123">
        <v>30.302776359298161</v>
      </c>
      <c r="F7" s="123">
        <v>-4.9613441653454196</v>
      </c>
      <c r="G7" s="124">
        <v>6.2443315589060173</v>
      </c>
      <c r="H7" s="123">
        <v>11.336032627315392</v>
      </c>
      <c r="I7" s="123">
        <v>6.5448659796379056</v>
      </c>
      <c r="J7" s="123">
        <v>6.3486182465887806</v>
      </c>
      <c r="K7" s="123">
        <v>-4.9631785004693434</v>
      </c>
      <c r="L7" s="123">
        <v>164.60387183950769</v>
      </c>
      <c r="M7" s="123">
        <v>1.3732460101479982</v>
      </c>
      <c r="N7" s="123">
        <v>0.11527261090274458</v>
      </c>
      <c r="O7" s="49">
        <v>248.1714448242796</v>
      </c>
    </row>
    <row r="8" spans="1:18" x14ac:dyDescent="0.25">
      <c r="A8" s="99" t="s">
        <v>979</v>
      </c>
      <c r="B8" s="123">
        <v>0.3804657879403972</v>
      </c>
      <c r="C8" s="123">
        <v>1.383618391232637</v>
      </c>
      <c r="D8" s="123">
        <v>5.7852240837475671E-2</v>
      </c>
      <c r="E8" s="123">
        <v>45.91700979289466</v>
      </c>
      <c r="F8" s="123">
        <v>0.6031963448876192</v>
      </c>
      <c r="G8" s="123">
        <v>1.7402639470237105</v>
      </c>
      <c r="H8" s="123">
        <v>4.491580462441223</v>
      </c>
      <c r="I8" s="123">
        <v>6.1705053951013564</v>
      </c>
      <c r="J8" s="123">
        <v>0.94243317150247963</v>
      </c>
      <c r="K8" s="123">
        <v>0.36011556559302649</v>
      </c>
      <c r="L8" s="123">
        <v>206.21777022278178</v>
      </c>
      <c r="M8" s="123">
        <v>0.27954439155922428</v>
      </c>
      <c r="N8" s="123">
        <v>1.3230928039537957E-2</v>
      </c>
      <c r="O8" s="49">
        <v>268.55758664183514</v>
      </c>
    </row>
    <row r="12" spans="1:18" x14ac:dyDescent="0.25">
      <c r="A12" s="54"/>
      <c r="B12" s="54"/>
      <c r="C12" s="54"/>
      <c r="D12" s="54"/>
      <c r="E12" s="54"/>
      <c r="F12" s="54"/>
      <c r="G12" s="54"/>
      <c r="H12" s="54"/>
      <c r="I12" s="54"/>
      <c r="J12" s="54"/>
      <c r="K12" s="54"/>
      <c r="L12" s="54"/>
      <c r="M12" s="54"/>
      <c r="N12" s="54"/>
      <c r="O12" s="54"/>
      <c r="Q12" s="54"/>
      <c r="R12" s="54"/>
    </row>
    <row r="13" spans="1:18" x14ac:dyDescent="0.25">
      <c r="A13" s="54"/>
      <c r="B13" s="54"/>
      <c r="C13" s="54"/>
      <c r="D13" s="54"/>
      <c r="E13" s="54"/>
      <c r="F13" s="54"/>
      <c r="G13" s="54"/>
      <c r="H13" s="54"/>
      <c r="I13" s="54"/>
      <c r="J13" s="54"/>
      <c r="K13" s="54"/>
      <c r="L13" s="54"/>
      <c r="M13" s="54"/>
      <c r="N13" s="54"/>
      <c r="O13" s="4"/>
      <c r="Q13" s="54"/>
      <c r="R13" s="54"/>
    </row>
    <row r="14" spans="1:18" x14ac:dyDescent="0.25">
      <c r="A14" s="54"/>
      <c r="B14" s="54"/>
      <c r="C14" s="54"/>
      <c r="D14" s="54"/>
      <c r="E14" s="54"/>
      <c r="F14" s="54"/>
      <c r="G14" s="54"/>
      <c r="H14" s="54"/>
      <c r="I14" s="54"/>
      <c r="J14" s="54"/>
      <c r="K14" s="54"/>
      <c r="L14" s="54"/>
      <c r="M14" s="54"/>
      <c r="N14" s="54"/>
      <c r="O14" s="4"/>
      <c r="Q14" s="54"/>
      <c r="R14" s="54"/>
    </row>
    <row r="15" spans="1:18" x14ac:dyDescent="0.25">
      <c r="A15" s="54"/>
      <c r="B15" s="54"/>
      <c r="C15" s="54"/>
      <c r="D15" s="54"/>
      <c r="E15" s="54"/>
      <c r="F15" s="54"/>
      <c r="G15" s="54"/>
      <c r="H15" s="54"/>
      <c r="I15" s="54"/>
      <c r="J15" s="54"/>
      <c r="K15" s="54"/>
      <c r="L15" s="54"/>
      <c r="M15" s="54"/>
      <c r="N15" s="54"/>
      <c r="O15" s="4"/>
      <c r="Q15" s="54"/>
      <c r="R15" s="54"/>
    </row>
    <row r="16" spans="1:18" x14ac:dyDescent="0.25">
      <c r="A16" s="54"/>
      <c r="B16" s="54"/>
      <c r="C16" s="54"/>
      <c r="D16" s="54"/>
      <c r="E16" s="54"/>
      <c r="F16" s="54"/>
      <c r="G16" s="54"/>
      <c r="H16" s="54"/>
      <c r="I16" s="54"/>
      <c r="J16" s="54"/>
      <c r="K16" s="54"/>
      <c r="L16" s="54"/>
      <c r="M16" s="54"/>
      <c r="N16" s="54"/>
      <c r="O16" s="4"/>
      <c r="Q16" s="54"/>
      <c r="R16" s="54"/>
    </row>
    <row r="17" spans="1:18" x14ac:dyDescent="0.25">
      <c r="A17" s="54"/>
      <c r="B17" s="54"/>
      <c r="C17" s="54"/>
      <c r="D17" s="54"/>
      <c r="E17" s="54"/>
      <c r="F17" s="54"/>
      <c r="G17" s="54"/>
      <c r="H17" s="54"/>
      <c r="I17" s="54"/>
      <c r="J17" s="54"/>
      <c r="K17" s="54"/>
      <c r="L17" s="54"/>
      <c r="M17" s="54"/>
      <c r="N17" s="54"/>
      <c r="O17" s="4"/>
      <c r="Q17" s="54"/>
      <c r="R17" s="54"/>
    </row>
    <row r="18" spans="1:18" x14ac:dyDescent="0.25">
      <c r="A18" s="54"/>
      <c r="B18" s="54"/>
      <c r="C18" s="54"/>
      <c r="D18" s="54"/>
      <c r="E18" s="54"/>
      <c r="F18" s="54"/>
      <c r="G18" s="54"/>
      <c r="H18" s="54"/>
      <c r="I18" s="54"/>
      <c r="J18" s="54"/>
      <c r="K18" s="54"/>
      <c r="L18" s="54"/>
      <c r="M18" s="54"/>
      <c r="N18" s="54"/>
      <c r="O18" s="4"/>
      <c r="Q18" s="54"/>
      <c r="R18" s="54"/>
    </row>
    <row r="19" spans="1:18" x14ac:dyDescent="0.25">
      <c r="A19" s="54"/>
      <c r="B19" s="54"/>
      <c r="C19" s="54"/>
      <c r="D19" s="54"/>
      <c r="E19" s="54"/>
      <c r="F19" s="54"/>
      <c r="G19" s="54"/>
      <c r="H19" s="54"/>
      <c r="I19" s="54"/>
      <c r="J19" s="54"/>
      <c r="K19" s="54"/>
      <c r="L19" s="54"/>
      <c r="M19" s="54"/>
      <c r="N19" s="54"/>
      <c r="O19" s="4"/>
      <c r="Q19" s="54"/>
      <c r="R19" s="54"/>
    </row>
    <row r="20" spans="1:18" x14ac:dyDescent="0.25">
      <c r="A20" s="54"/>
      <c r="B20" s="54"/>
      <c r="C20" s="54"/>
      <c r="D20" s="54"/>
      <c r="E20" s="54"/>
      <c r="F20" s="54"/>
      <c r="G20" s="54"/>
      <c r="H20" s="54"/>
      <c r="I20" s="54"/>
      <c r="J20" s="54"/>
      <c r="K20" s="54"/>
      <c r="L20" s="54"/>
      <c r="M20" s="54"/>
      <c r="N20" s="54"/>
      <c r="O20" s="54"/>
      <c r="Q20" s="54"/>
      <c r="R20" s="54"/>
    </row>
    <row r="21" spans="1:18" x14ac:dyDescent="0.25">
      <c r="A21" s="54"/>
      <c r="B21" s="54"/>
      <c r="C21" s="54"/>
      <c r="D21" s="54"/>
      <c r="E21" s="54"/>
      <c r="F21" s="54"/>
      <c r="G21" s="54"/>
      <c r="H21" s="54"/>
      <c r="I21" s="54"/>
      <c r="J21" s="54"/>
      <c r="K21" s="54"/>
      <c r="L21" s="54"/>
      <c r="M21" s="54"/>
      <c r="N21" s="54"/>
      <c r="O21" s="54"/>
      <c r="Q21" s="54"/>
      <c r="R21" s="54"/>
    </row>
    <row r="23" spans="1:18" x14ac:dyDescent="0.25">
      <c r="B23" s="84"/>
      <c r="C23" s="84"/>
      <c r="D23" s="84"/>
      <c r="E23" s="84"/>
      <c r="F23" s="84"/>
      <c r="G23" s="84"/>
      <c r="H23" s="84"/>
      <c r="I23" s="84"/>
      <c r="J23" s="84"/>
      <c r="K23" s="84"/>
      <c r="L23" s="84"/>
      <c r="M23" s="84"/>
      <c r="N23" s="84"/>
      <c r="O23" s="84"/>
      <c r="P23" s="84"/>
      <c r="Q23" s="84"/>
    </row>
    <row r="24" spans="1:18" x14ac:dyDescent="0.25">
      <c r="B24" s="84"/>
      <c r="C24" s="84"/>
      <c r="D24" s="84"/>
      <c r="E24" s="84"/>
      <c r="F24" s="84"/>
      <c r="G24" s="84"/>
      <c r="H24" s="84"/>
      <c r="I24" s="84"/>
      <c r="J24" s="84"/>
      <c r="K24" s="84"/>
      <c r="L24" s="84"/>
      <c r="M24" s="84"/>
      <c r="N24" s="84"/>
      <c r="O24" s="84"/>
      <c r="P24" s="84"/>
      <c r="Q24" s="84"/>
    </row>
    <row r="25" spans="1:18" x14ac:dyDescent="0.25">
      <c r="B25" s="84"/>
      <c r="C25" s="84"/>
      <c r="D25" s="84"/>
      <c r="E25" s="84"/>
      <c r="F25" s="84"/>
      <c r="G25" s="84"/>
      <c r="H25" s="84"/>
      <c r="I25" s="84"/>
      <c r="J25" s="84"/>
      <c r="K25" s="84"/>
      <c r="L25" s="84"/>
      <c r="M25" s="84"/>
      <c r="N25" s="84"/>
      <c r="O25" s="84"/>
      <c r="P25" s="84"/>
      <c r="Q25" s="84"/>
    </row>
    <row r="26" spans="1:18" x14ac:dyDescent="0.25">
      <c r="B26" s="84"/>
      <c r="C26" s="84"/>
      <c r="D26" s="84"/>
      <c r="E26" s="84"/>
      <c r="F26" s="84"/>
      <c r="G26" s="84"/>
      <c r="H26" s="84"/>
      <c r="I26" s="84"/>
      <c r="J26" s="84"/>
      <c r="K26" s="84"/>
      <c r="L26" s="84"/>
      <c r="M26" s="84"/>
      <c r="N26" s="84"/>
      <c r="O26" s="84"/>
      <c r="P26" s="84"/>
      <c r="Q26" s="84"/>
    </row>
    <row r="27" spans="1:18" x14ac:dyDescent="0.25">
      <c r="B27" s="84"/>
      <c r="C27" s="84"/>
      <c r="D27" s="84"/>
      <c r="E27" s="84"/>
      <c r="F27" s="84"/>
      <c r="G27" s="84"/>
      <c r="H27" s="84"/>
      <c r="I27" s="84"/>
      <c r="J27" s="84"/>
      <c r="K27" s="84"/>
      <c r="L27" s="84"/>
      <c r="M27" s="84"/>
      <c r="N27" s="84"/>
      <c r="O27" s="84"/>
      <c r="P27" s="84"/>
      <c r="Q27" s="84"/>
    </row>
    <row r="28" spans="1:18" x14ac:dyDescent="0.25">
      <c r="B28" s="84"/>
      <c r="C28" s="84"/>
      <c r="D28" s="84"/>
      <c r="E28" s="84"/>
      <c r="F28" s="84"/>
      <c r="G28" s="84"/>
      <c r="H28" s="84"/>
      <c r="I28" s="84"/>
      <c r="J28" s="84"/>
      <c r="K28" s="84"/>
      <c r="L28" s="84"/>
      <c r="M28" s="84"/>
      <c r="N28" s="84"/>
      <c r="O28" s="84"/>
      <c r="P28" s="84"/>
      <c r="Q28" s="84"/>
    </row>
    <row r="29" spans="1:18" x14ac:dyDescent="0.25">
      <c r="B29" s="84"/>
      <c r="C29" s="84"/>
      <c r="D29" s="84"/>
      <c r="E29" s="84"/>
      <c r="F29" s="84"/>
      <c r="G29" s="84"/>
      <c r="H29" s="84"/>
      <c r="I29" s="84"/>
      <c r="J29" s="84"/>
      <c r="K29" s="84"/>
      <c r="L29" s="84"/>
      <c r="M29" s="84"/>
      <c r="N29" s="84"/>
      <c r="O29" s="84"/>
      <c r="P29" s="84"/>
      <c r="Q29" s="84"/>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S27"/>
  <sheetViews>
    <sheetView topLeftCell="H1" workbookViewId="0">
      <selection activeCell="X16" sqref="X16"/>
    </sheetView>
  </sheetViews>
  <sheetFormatPr defaultRowHeight="15" x14ac:dyDescent="0.25"/>
  <sheetData>
    <row r="1" spans="1:19" x14ac:dyDescent="0.25">
      <c r="A1" s="29" t="s">
        <v>357</v>
      </c>
      <c r="B1" s="15" t="s">
        <v>358</v>
      </c>
      <c r="C1" s="15" t="s">
        <v>359</v>
      </c>
      <c r="D1" s="15" t="s">
        <v>360</v>
      </c>
      <c r="E1" s="15" t="s">
        <v>361</v>
      </c>
      <c r="F1" s="15" t="s">
        <v>362</v>
      </c>
      <c r="G1" s="15" t="s">
        <v>363</v>
      </c>
      <c r="H1" s="15" t="s">
        <v>364</v>
      </c>
      <c r="I1" s="15" t="s">
        <v>365</v>
      </c>
      <c r="J1" s="15" t="s">
        <v>366</v>
      </c>
      <c r="K1" s="15" t="s">
        <v>367</v>
      </c>
      <c r="L1" s="15" t="s">
        <v>368</v>
      </c>
      <c r="M1" s="15" t="s">
        <v>369</v>
      </c>
      <c r="N1" s="15" t="s">
        <v>370</v>
      </c>
      <c r="O1" s="15" t="s">
        <v>371</v>
      </c>
    </row>
    <row r="2" spans="1:19" x14ac:dyDescent="0.25">
      <c r="A2" s="99" t="s">
        <v>973</v>
      </c>
      <c r="B2" s="36">
        <f>ABS('Supplem.Table 6'!B2)/'Supplem.Table 6'!$O2</f>
        <v>1.5292375975757137E-3</v>
      </c>
      <c r="C2" s="36">
        <f>ABS('Supplem.Table 6'!C2)/'Supplem.Table 6'!$O2</f>
        <v>4.4454227731609399E-3</v>
      </c>
      <c r="D2" s="36">
        <f>ABS('Supplem.Table 6'!D2)/'Supplem.Table 6'!$O2</f>
        <v>3.8215476664288948E-2</v>
      </c>
      <c r="E2" s="36">
        <f>ABS('Supplem.Table 6'!E2)/'Supplem.Table 6'!$O2</f>
        <v>0.24407542927903261</v>
      </c>
      <c r="F2" s="36">
        <f>ABS('Supplem.Table 6'!F2)/'Supplem.Table 6'!$O2</f>
        <v>2.8217128651537972E-3</v>
      </c>
      <c r="G2" s="36">
        <f>ABS('Supplem.Table 6'!G2)/'Supplem.Table 6'!$O2</f>
        <v>3.1226253953123306E-3</v>
      </c>
      <c r="H2" s="36">
        <f>ABS('Supplem.Table 6'!H2)/'Supplem.Table 6'!$O2</f>
        <v>6.9232557134722694E-4</v>
      </c>
      <c r="I2" s="36">
        <f>ABS('Supplem.Table 6'!I2)/'Supplem.Table 6'!$O2</f>
        <v>1.8981998574749918E-2</v>
      </c>
      <c r="J2" s="36">
        <f>ABS('Supplem.Table 6'!J2)/'Supplem.Table 6'!$O2</f>
        <v>2.5387382892193022E-3</v>
      </c>
      <c r="K2" s="36">
        <f>ABS('Supplem.Table 6'!K2)/'Supplem.Table 6'!$O2</f>
        <v>2.000657025953605E-3</v>
      </c>
      <c r="L2" s="36">
        <f>ABS('Supplem.Table 6'!L2)/'Supplem.Table 6'!$O2</f>
        <v>0.68084602788825133</v>
      </c>
      <c r="M2" s="36">
        <f>ABS('Supplem.Table 6'!M2)/'Supplem.Table 6'!$O2</f>
        <v>7.0823867380193073E-4</v>
      </c>
      <c r="N2" s="36">
        <f>ABS('Supplem.Table 6'!N2)/'Supplem.Table 6'!$O2</f>
        <v>2.210940215235268E-5</v>
      </c>
      <c r="O2" s="37">
        <f>ABS('Supplem.Table 6'!O2)/'Supplem.Table 6'!$O2</f>
        <v>1</v>
      </c>
    </row>
    <row r="3" spans="1:19" x14ac:dyDescent="0.25">
      <c r="A3" s="99" t="s">
        <v>974</v>
      </c>
      <c r="B3" s="36">
        <f>ABS('Supplem.Table 6'!B3)/'Supplem.Table 6'!$O3</f>
        <v>2.4562999302974332E-3</v>
      </c>
      <c r="C3" s="36">
        <f>ABS('Supplem.Table 6'!C3)/'Supplem.Table 6'!$O3</f>
        <v>1.2598043644604222E-2</v>
      </c>
      <c r="D3" s="36">
        <f>ABS('Supplem.Table 6'!D3)/'Supplem.Table 6'!$O3</f>
        <v>3.5908778961115946E-2</v>
      </c>
      <c r="E3" s="36">
        <f>ABS('Supplem.Table 6'!E3)/'Supplem.Table 6'!$O3</f>
        <v>6.180496740275717E-2</v>
      </c>
      <c r="F3" s="36">
        <f>ABS('Supplem.Table 6'!F3)/'Supplem.Table 6'!$O3</f>
        <v>3.1613543345141047E-3</v>
      </c>
      <c r="G3" s="36">
        <f>ABS('Supplem.Table 6'!G3)/'Supplem.Table 6'!$O3</f>
        <v>3.3489605305499575E-3</v>
      </c>
      <c r="H3" s="36">
        <f>ABS('Supplem.Table 6'!H3)/'Supplem.Table 6'!$O3</f>
        <v>9.5175457556872043E-3</v>
      </c>
      <c r="I3" s="36">
        <f>ABS('Supplem.Table 6'!I3)/'Supplem.Table 6'!$O3</f>
        <v>2.6854574578800819E-2</v>
      </c>
      <c r="J3" s="36">
        <f>ABS('Supplem.Table 6'!J3)/'Supplem.Table 6'!$O3</f>
        <v>2.8728403295147642E-3</v>
      </c>
      <c r="K3" s="36">
        <f>ABS('Supplem.Table 6'!K3)/'Supplem.Table 6'!$O3</f>
        <v>1.7524256190481622E-2</v>
      </c>
      <c r="L3" s="36">
        <f>ABS('Supplem.Table 6'!L3)/'Supplem.Table 6'!$O3</f>
        <v>0.82339185481730726</v>
      </c>
      <c r="M3" s="36">
        <f>ABS('Supplem.Table 6'!M3)/'Supplem.Table 6'!$O3</f>
        <v>5.0077798248037255E-4</v>
      </c>
      <c r="N3" s="36">
        <f>ABS('Supplem.Table 6'!N3)/'Supplem.Table 6'!$O3</f>
        <v>5.9745541889071766E-5</v>
      </c>
      <c r="O3" s="37">
        <f>ABS('Supplem.Table 6'!O3)/'Supplem.Table 6'!$O3</f>
        <v>1</v>
      </c>
    </row>
    <row r="4" spans="1:19" x14ac:dyDescent="0.25">
      <c r="A4" s="99" t="s">
        <v>975</v>
      </c>
      <c r="B4" s="36">
        <f>ABS('Supplem.Table 6'!B4)/'Supplem.Table 6'!$O4</f>
        <v>6.4320112612890998E-4</v>
      </c>
      <c r="C4" s="36">
        <f>ABS('Supplem.Table 6'!C4)/'Supplem.Table 6'!$O4</f>
        <v>5.1226131075094621E-4</v>
      </c>
      <c r="D4" s="36">
        <f>ABS('Supplem.Table 6'!D4)/'Supplem.Table 6'!$O4</f>
        <v>3.8364086018175987E-2</v>
      </c>
      <c r="E4" s="36">
        <f>ABS('Supplem.Table 6'!E4)/'Supplem.Table 6'!$O4</f>
        <v>3.5305238088618227E-2</v>
      </c>
      <c r="F4" s="36">
        <f>ABS('Supplem.Table 6'!F4)/'Supplem.Table 6'!$O4</f>
        <v>1.8456603691619766E-3</v>
      </c>
      <c r="G4" s="36">
        <f>ABS('Supplem.Table 6'!G4)/'Supplem.Table 6'!$O4</f>
        <v>3.3802599416747118E-3</v>
      </c>
      <c r="H4" s="36">
        <f>ABS('Supplem.Table 6'!H4)/'Supplem.Table 6'!$O4</f>
        <v>1.109719521377139E-2</v>
      </c>
      <c r="I4" s="36">
        <f>ABS('Supplem.Table 6'!I4)/'Supplem.Table 6'!$O4</f>
        <v>4.3717175580057985E-2</v>
      </c>
      <c r="J4" s="36">
        <f>ABS('Supplem.Table 6'!J4)/'Supplem.Table 6'!$O4</f>
        <v>2.9322769134089138E-3</v>
      </c>
      <c r="K4" s="36">
        <f>ABS('Supplem.Table 6'!K4)/'Supplem.Table 6'!$O4</f>
        <v>2.1091674889851604E-3</v>
      </c>
      <c r="L4" s="36">
        <f>ABS('Supplem.Table 6'!L4)/'Supplem.Table 6'!$O4</f>
        <v>0.85963408612384518</v>
      </c>
      <c r="M4" s="36">
        <f>ABS('Supplem.Table 6'!M4)/'Supplem.Table 6'!$O4</f>
        <v>4.0440114455408922E-4</v>
      </c>
      <c r="N4" s="36">
        <f>ABS('Supplem.Table 6'!N4)/'Supplem.Table 6'!$O4</f>
        <v>5.4990680866497873E-5</v>
      </c>
      <c r="O4" s="37">
        <f>ABS('Supplem.Table 6'!O4)/'Supplem.Table 6'!$O4</f>
        <v>1</v>
      </c>
    </row>
    <row r="5" spans="1:19" x14ac:dyDescent="0.25">
      <c r="A5" s="99" t="s">
        <v>976</v>
      </c>
      <c r="B5" s="36">
        <f>ABS('Supplem.Table 6'!B5)/'Supplem.Table 6'!$O5</f>
        <v>1.4982694670936326E-4</v>
      </c>
      <c r="C5" s="36">
        <f>ABS('Supplem.Table 6'!C5)/'Supplem.Table 6'!$O5</f>
        <v>1.31951182971984E-4</v>
      </c>
      <c r="D5" s="36">
        <f>ABS('Supplem.Table 6'!D5)/'Supplem.Table 6'!$O5</f>
        <v>8.5445287295499803E-3</v>
      </c>
      <c r="E5" s="36">
        <f>ABS('Supplem.Table 6'!E5)/'Supplem.Table 6'!$O5</f>
        <v>7.9976942080706593E-3</v>
      </c>
      <c r="F5" s="36">
        <f>ABS('Supplem.Table 6'!F5)/'Supplem.Table 6'!$O5</f>
        <v>4.1797399234629523E-4</v>
      </c>
      <c r="G5" s="36">
        <f>ABS('Supplem.Table 6'!G5)/'Supplem.Table 6'!$O5</f>
        <v>5.8025579761694028E-4</v>
      </c>
      <c r="H5" s="36">
        <f>ABS('Supplem.Table 6'!H5)/'Supplem.Table 6'!$O5</f>
        <v>5.6845663385829666E-3</v>
      </c>
      <c r="I5" s="36">
        <f>ABS('Supplem.Table 6'!I5)/'Supplem.Table 6'!$O5</f>
        <v>4.1040807804268886E-2</v>
      </c>
      <c r="J5" s="36">
        <f>ABS('Supplem.Table 6'!J5)/'Supplem.Table 6'!$O5</f>
        <v>6.5070964509388843E-4</v>
      </c>
      <c r="K5" s="36">
        <f>ABS('Supplem.Table 6'!K5)/'Supplem.Table 6'!$O5</f>
        <v>5.8633308377935072E-4</v>
      </c>
      <c r="L5" s="36">
        <f>ABS('Supplem.Table 6'!L5)/'Supplem.Table 6'!$O5</f>
        <v>0.93402815458844146</v>
      </c>
      <c r="M5" s="36">
        <f>ABS('Supplem.Table 6'!M5)/'Supplem.Table 6'!$O5</f>
        <v>1.401386744934044E-4</v>
      </c>
      <c r="N5" s="36">
        <f>ABS('Supplem.Table 6'!N5)/'Supplem.Table 6'!$O5</f>
        <v>4.7059008075014986E-5</v>
      </c>
      <c r="O5" s="37">
        <f>ABS('Supplem.Table 6'!O5)/'Supplem.Table 6'!$O5</f>
        <v>1</v>
      </c>
    </row>
    <row r="6" spans="1:19" x14ac:dyDescent="0.25">
      <c r="A6" s="99" t="s">
        <v>977</v>
      </c>
      <c r="B6" s="36">
        <f>ABS('Supplem.Table 6'!B6)/'Supplem.Table 6'!$O6</f>
        <v>7.8572249411545791E-3</v>
      </c>
      <c r="C6" s="36">
        <f>ABS('Supplem.Table 6'!C6)/'Supplem.Table 6'!$O6</f>
        <v>6.6036929644932843E-3</v>
      </c>
      <c r="D6" s="36">
        <f>ABS('Supplem.Table 6'!D6)/'Supplem.Table 6'!$O6</f>
        <v>0.20895742503775341</v>
      </c>
      <c r="E6" s="36">
        <f>ABS('Supplem.Table 6'!E6)/'Supplem.Table 6'!$O6</f>
        <v>0.11453435259019348</v>
      </c>
      <c r="F6" s="36">
        <f>ABS('Supplem.Table 6'!F6)/'Supplem.Table 6'!$O6</f>
        <v>1.1801920606086074E-2</v>
      </c>
      <c r="G6" s="36">
        <f>ABS('Supplem.Table 6'!G6)/'Supplem.Table 6'!$O6</f>
        <v>1.7761920214900549E-2</v>
      </c>
      <c r="H6" s="36">
        <f>ABS('Supplem.Table 6'!H6)/'Supplem.Table 6'!$O6</f>
        <v>1.866051827494155E-2</v>
      </c>
      <c r="I6" s="36">
        <f>ABS('Supplem.Table 6'!I6)/'Supplem.Table 6'!$O6</f>
        <v>2.1062032918448437E-2</v>
      </c>
      <c r="J6" s="36">
        <f>ABS('Supplem.Table 6'!J6)/'Supplem.Table 6'!$O6</f>
        <v>1.1090671612109096E-2</v>
      </c>
      <c r="K6" s="36">
        <f>ABS('Supplem.Table 6'!K6)/'Supplem.Table 6'!$O6</f>
        <v>3.7102876482062422E-3</v>
      </c>
      <c r="L6" s="36">
        <f>ABS('Supplem.Table 6'!L6)/'Supplem.Table 6'!$O6</f>
        <v>0.57760410129470474</v>
      </c>
      <c r="M6" s="36">
        <f>ABS('Supplem.Table 6'!M6)/'Supplem.Table 6'!$O6</f>
        <v>1.2435480311948234E-4</v>
      </c>
      <c r="N6" s="36">
        <f>ABS('Supplem.Table 6'!N6)/'Supplem.Table 6'!$O6</f>
        <v>2.3149709388908997E-4</v>
      </c>
      <c r="O6" s="37">
        <f>ABS('Supplem.Table 6'!O6)/'Supplem.Table 6'!$O6</f>
        <v>1</v>
      </c>
    </row>
    <row r="7" spans="1:19" x14ac:dyDescent="0.25">
      <c r="A7" s="99" t="s">
        <v>978</v>
      </c>
      <c r="B7" s="36">
        <f>ABS('Supplem.Table 6'!B7)/'Supplem.Table 6'!$O7</f>
        <v>9.573475744540743E-3</v>
      </c>
      <c r="C7" s="36">
        <f>ABS('Supplem.Table 6'!C7)/'Supplem.Table 6'!$O7</f>
        <v>7.4382523062598736E-3</v>
      </c>
      <c r="D7" s="36">
        <f>ABS('Supplem.Table 6'!D7)/'Supplem.Table 6'!$O7</f>
        <v>2.8835234456172806E-2</v>
      </c>
      <c r="E7" s="36">
        <f>ABS('Supplem.Table 6'!E7)/'Supplem.Table 6'!$O7</f>
        <v>0.12210420252319665</v>
      </c>
      <c r="F7" s="36">
        <f>ABS('Supplem.Table 6'!F7)/'Supplem.Table 6'!$O7</f>
        <v>1.9991599633303304E-2</v>
      </c>
      <c r="G7" s="36">
        <f>ABS('Supplem.Table 6'!G7)/'Supplem.Table 6'!$O7</f>
        <v>2.5161361990407003E-2</v>
      </c>
      <c r="H7" s="36">
        <f>ABS('Supplem.Table 6'!H7)/'Supplem.Table 6'!$O7</f>
        <v>4.567823117338092E-2</v>
      </c>
      <c r="I7" s="36">
        <f>ABS('Supplem.Table 6'!I7)/'Supplem.Table 6'!$O7</f>
        <v>2.6372357159269742E-2</v>
      </c>
      <c r="J7" s="36">
        <f>ABS('Supplem.Table 6'!J7)/'Supplem.Table 6'!$O7</f>
        <v>2.5581582325412123E-2</v>
      </c>
      <c r="K7" s="36">
        <f>ABS('Supplem.Table 6'!K7)/'Supplem.Table 6'!$O7</f>
        <v>1.9998991036150729E-2</v>
      </c>
      <c r="L7" s="36">
        <f>ABS('Supplem.Table 6'!L7)/'Supplem.Table 6'!$O7</f>
        <v>0.6632667668758474</v>
      </c>
      <c r="M7" s="36">
        <f>ABS('Supplem.Table 6'!M7)/'Supplem.Table 6'!$O7</f>
        <v>5.5334569660918861E-3</v>
      </c>
      <c r="N7" s="36">
        <f>ABS('Supplem.Table 6'!N7)/'Supplem.Table 6'!$O7</f>
        <v>4.644878099668742E-4</v>
      </c>
      <c r="O7" s="37">
        <f>ABS('Supplem.Table 6'!O7)/'Supplem.Table 6'!$O7</f>
        <v>1</v>
      </c>
    </row>
    <row r="8" spans="1:19" x14ac:dyDescent="0.25">
      <c r="A8" s="99" t="s">
        <v>979</v>
      </c>
      <c r="B8" s="36">
        <f>ABS('Supplem.Table 6'!B8)/'Supplem.Table 6'!$O8</f>
        <v>1.416700949311887E-3</v>
      </c>
      <c r="C8" s="36">
        <f>ABS('Supplem.Table 6'!C8)/'Supplem.Table 6'!$O8</f>
        <v>5.1520361369567832E-3</v>
      </c>
      <c r="D8" s="36">
        <f>ABS('Supplem.Table 6'!D8)/'Supplem.Table 6'!$O8</f>
        <v>2.154183821834494E-4</v>
      </c>
      <c r="E8" s="36">
        <f>ABS('Supplem.Table 6'!E8)/'Supplem.Table 6'!$O8</f>
        <v>0.17097640162417901</v>
      </c>
      <c r="F8" s="36">
        <f>ABS('Supplem.Table 6'!F8)/'Supplem.Table 6'!$O8</f>
        <v>2.2460595972366953E-3</v>
      </c>
      <c r="G8" s="36">
        <f>ABS('Supplem.Table 6'!G8)/'Supplem.Table 6'!$O8</f>
        <v>6.4800401611615358E-3</v>
      </c>
      <c r="H8" s="36">
        <f>ABS('Supplem.Table 6'!H8)/'Supplem.Table 6'!$O8</f>
        <v>1.672483178973257E-2</v>
      </c>
      <c r="I8" s="36">
        <f>ABS('Supplem.Table 6'!I8)/'Supplem.Table 6'!$O8</f>
        <v>2.2976470232176759E-2</v>
      </c>
      <c r="J8" s="36">
        <f>ABS('Supplem.Table 6'!J8)/'Supplem.Table 6'!$O8</f>
        <v>3.5092405442240077E-3</v>
      </c>
      <c r="K8" s="36">
        <f>ABS('Supplem.Table 6'!K8)/'Supplem.Table 6'!$O8</f>
        <v>1.3409249393996777E-3</v>
      </c>
      <c r="L8" s="36">
        <f>ABS('Supplem.Table 6'!L8)/'Supplem.Table 6'!$O8</f>
        <v>0.76787169858584725</v>
      </c>
      <c r="M8" s="36">
        <f>ABS('Supplem.Table 6'!M8)/'Supplem.Table 6'!$O8</f>
        <v>1.0409104246682176E-3</v>
      </c>
      <c r="N8" s="36">
        <f>ABS('Supplem.Table 6'!N8)/'Supplem.Table 6'!$O8</f>
        <v>4.9266632922135741E-5</v>
      </c>
      <c r="O8" s="37">
        <f>ABS('Supplem.Table 6'!O8)/'Supplem.Table 6'!$O8</f>
        <v>1</v>
      </c>
    </row>
    <row r="11" spans="1:19" x14ac:dyDescent="0.25">
      <c r="A11" s="125"/>
      <c r="B11" s="125"/>
      <c r="C11" s="125"/>
      <c r="D11" s="125"/>
      <c r="E11" s="125"/>
      <c r="F11" s="125"/>
      <c r="G11" s="125"/>
      <c r="H11" s="125"/>
      <c r="I11" s="125"/>
      <c r="J11" s="125"/>
      <c r="K11" s="125"/>
      <c r="L11" s="125"/>
      <c r="M11" s="125"/>
      <c r="N11" s="125"/>
      <c r="O11" s="54"/>
      <c r="P11" s="54"/>
      <c r="Q11" s="125"/>
      <c r="R11" s="125"/>
      <c r="S11" s="54"/>
    </row>
    <row r="12" spans="1:19" x14ac:dyDescent="0.25">
      <c r="A12" s="125"/>
      <c r="B12" s="125"/>
      <c r="C12" s="125"/>
      <c r="D12" s="125"/>
      <c r="E12" s="125"/>
      <c r="F12" s="125"/>
      <c r="G12" s="125"/>
      <c r="H12" s="125"/>
      <c r="I12" s="125"/>
      <c r="J12" s="125"/>
      <c r="K12" s="125"/>
      <c r="L12" s="125"/>
      <c r="M12" s="125"/>
      <c r="N12" s="125"/>
      <c r="O12" s="54"/>
      <c r="P12" s="54"/>
      <c r="Q12" s="125"/>
      <c r="R12" s="125"/>
      <c r="S12" s="54"/>
    </row>
    <row r="13" spans="1:19" x14ac:dyDescent="0.25">
      <c r="A13" s="125"/>
      <c r="B13" s="125"/>
      <c r="C13" s="125"/>
      <c r="D13" s="125"/>
      <c r="E13" s="125"/>
      <c r="F13" s="125"/>
      <c r="G13" s="125"/>
      <c r="H13" s="125"/>
      <c r="I13" s="125"/>
      <c r="J13" s="125"/>
      <c r="K13" s="125"/>
      <c r="L13" s="125"/>
      <c r="M13" s="125"/>
      <c r="N13" s="125"/>
      <c r="O13" s="54"/>
      <c r="P13" s="54"/>
      <c r="Q13" s="125"/>
      <c r="R13" s="125"/>
      <c r="S13" s="54"/>
    </row>
    <row r="14" spans="1:19" x14ac:dyDescent="0.25">
      <c r="A14" s="125"/>
      <c r="B14" s="125"/>
      <c r="C14" s="125"/>
      <c r="D14" s="125"/>
      <c r="E14" s="125"/>
      <c r="F14" s="125"/>
      <c r="G14" s="125"/>
      <c r="H14" s="125"/>
      <c r="I14" s="125"/>
      <c r="J14" s="125"/>
      <c r="K14" s="125"/>
      <c r="L14" s="125"/>
      <c r="M14" s="125"/>
      <c r="N14" s="125"/>
      <c r="O14" s="54"/>
      <c r="P14" s="54"/>
      <c r="Q14" s="125"/>
      <c r="R14" s="125"/>
      <c r="S14" s="54"/>
    </row>
    <row r="15" spans="1:19" x14ac:dyDescent="0.25">
      <c r="A15" s="125"/>
      <c r="B15" s="125"/>
      <c r="C15" s="125"/>
      <c r="D15" s="125"/>
      <c r="E15" s="125"/>
      <c r="F15" s="125"/>
      <c r="G15" s="125"/>
      <c r="H15" s="125"/>
      <c r="I15" s="125"/>
      <c r="J15" s="125"/>
      <c r="K15" s="125"/>
      <c r="L15" s="125"/>
      <c r="M15" s="125"/>
      <c r="N15" s="125"/>
      <c r="O15" s="54"/>
      <c r="P15" s="54"/>
      <c r="Q15" s="125"/>
      <c r="R15" s="125"/>
      <c r="S15" s="54"/>
    </row>
    <row r="16" spans="1:19" x14ac:dyDescent="0.25">
      <c r="A16" s="125"/>
      <c r="B16" s="125"/>
      <c r="C16" s="125"/>
      <c r="D16" s="125"/>
      <c r="E16" s="125"/>
      <c r="F16" s="125"/>
      <c r="G16" s="125"/>
      <c r="H16" s="125"/>
      <c r="I16" s="125"/>
      <c r="J16" s="125"/>
      <c r="K16" s="125"/>
      <c r="L16" s="125"/>
      <c r="M16" s="125"/>
      <c r="N16" s="125"/>
      <c r="O16" s="54"/>
      <c r="P16" s="54"/>
      <c r="Q16" s="125"/>
      <c r="R16" s="125"/>
      <c r="S16" s="54"/>
    </row>
    <row r="17" spans="1:19" x14ac:dyDescent="0.25">
      <c r="A17" s="125"/>
      <c r="B17" s="125"/>
      <c r="C17" s="125"/>
      <c r="D17" s="125"/>
      <c r="E17" s="125"/>
      <c r="F17" s="125"/>
      <c r="G17" s="125"/>
      <c r="H17" s="125"/>
      <c r="I17" s="125"/>
      <c r="J17" s="125"/>
      <c r="K17" s="125"/>
      <c r="L17" s="125"/>
      <c r="M17" s="125"/>
      <c r="N17" s="125"/>
      <c r="O17" s="54"/>
      <c r="P17" s="54"/>
      <c r="Q17" s="125"/>
      <c r="R17" s="125"/>
      <c r="S17" s="54"/>
    </row>
    <row r="18" spans="1:19" x14ac:dyDescent="0.25">
      <c r="A18" s="125"/>
      <c r="B18" s="125"/>
      <c r="C18" s="125"/>
      <c r="D18" s="125"/>
      <c r="E18" s="125"/>
      <c r="F18" s="125"/>
      <c r="G18" s="125"/>
      <c r="H18" s="125"/>
      <c r="I18" s="125"/>
      <c r="J18" s="125"/>
      <c r="K18" s="125"/>
      <c r="L18" s="125"/>
      <c r="M18" s="125"/>
      <c r="N18" s="125"/>
      <c r="O18" s="54"/>
      <c r="P18" s="54"/>
      <c r="Q18" s="125"/>
      <c r="R18" s="125"/>
      <c r="S18" s="54"/>
    </row>
    <row r="19" spans="1:19" x14ac:dyDescent="0.25">
      <c r="A19" s="54"/>
      <c r="B19" s="54"/>
      <c r="C19" s="54"/>
      <c r="D19" s="54"/>
      <c r="E19" s="54"/>
      <c r="F19" s="54"/>
      <c r="G19" s="54"/>
      <c r="H19" s="54"/>
      <c r="I19" s="54"/>
      <c r="J19" s="54"/>
      <c r="K19" s="54"/>
      <c r="L19" s="54"/>
      <c r="M19" s="54"/>
      <c r="N19" s="54"/>
      <c r="O19" s="54"/>
      <c r="P19" s="54"/>
      <c r="Q19" s="54"/>
      <c r="R19" s="54"/>
      <c r="S19" s="54"/>
    </row>
    <row r="20" spans="1:19" x14ac:dyDescent="0.25">
      <c r="A20" s="54"/>
      <c r="B20" s="89"/>
      <c r="C20" s="89"/>
      <c r="D20" s="89"/>
      <c r="E20" s="89"/>
      <c r="F20" s="89"/>
      <c r="G20" s="89"/>
      <c r="H20" s="89"/>
      <c r="I20" s="89"/>
      <c r="J20" s="89"/>
      <c r="K20" s="89"/>
      <c r="L20" s="89"/>
      <c r="M20" s="89"/>
      <c r="N20" s="89"/>
      <c r="O20" s="54"/>
      <c r="P20" s="54"/>
      <c r="Q20" s="54"/>
      <c r="R20" s="54"/>
      <c r="S20" s="54"/>
    </row>
    <row r="21" spans="1:19" x14ac:dyDescent="0.25">
      <c r="A21" s="54"/>
      <c r="B21" s="89"/>
      <c r="C21" s="89"/>
      <c r="D21" s="89"/>
      <c r="E21" s="89"/>
      <c r="F21" s="89"/>
      <c r="G21" s="89"/>
      <c r="H21" s="89"/>
      <c r="I21" s="89"/>
      <c r="J21" s="89"/>
      <c r="K21" s="89"/>
      <c r="L21" s="89"/>
      <c r="M21" s="89"/>
      <c r="N21" s="89"/>
      <c r="O21" s="54"/>
      <c r="P21" s="54"/>
      <c r="Q21" s="54"/>
      <c r="R21" s="54"/>
      <c r="S21" s="54"/>
    </row>
    <row r="22" spans="1:19" x14ac:dyDescent="0.25">
      <c r="A22" s="54"/>
      <c r="B22" s="89"/>
      <c r="C22" s="89"/>
      <c r="D22" s="89"/>
      <c r="E22" s="89"/>
      <c r="F22" s="89"/>
      <c r="G22" s="89"/>
      <c r="H22" s="89"/>
      <c r="I22" s="89"/>
      <c r="J22" s="89"/>
      <c r="K22" s="89"/>
      <c r="L22" s="89"/>
      <c r="M22" s="89"/>
      <c r="N22" s="89"/>
      <c r="O22" s="54"/>
      <c r="P22" s="54"/>
      <c r="Q22" s="54"/>
      <c r="R22" s="54"/>
      <c r="S22" s="54"/>
    </row>
    <row r="23" spans="1:19" x14ac:dyDescent="0.25">
      <c r="A23" s="54"/>
      <c r="B23" s="89"/>
      <c r="C23" s="89"/>
      <c r="D23" s="89"/>
      <c r="E23" s="89"/>
      <c r="F23" s="89"/>
      <c r="G23" s="89"/>
      <c r="H23" s="89"/>
      <c r="I23" s="89"/>
      <c r="J23" s="89"/>
      <c r="K23" s="89"/>
      <c r="L23" s="89"/>
      <c r="M23" s="89"/>
      <c r="N23" s="89"/>
      <c r="O23" s="54"/>
      <c r="P23" s="54"/>
      <c r="Q23" s="54"/>
      <c r="R23" s="54"/>
      <c r="S23" s="54"/>
    </row>
    <row r="24" spans="1:19" x14ac:dyDescent="0.25">
      <c r="A24" s="54"/>
      <c r="B24" s="89"/>
      <c r="C24" s="89"/>
      <c r="D24" s="89"/>
      <c r="E24" s="89"/>
      <c r="F24" s="89"/>
      <c r="G24" s="89"/>
      <c r="H24" s="89"/>
      <c r="I24" s="89"/>
      <c r="J24" s="89"/>
      <c r="K24" s="89"/>
      <c r="L24" s="89"/>
      <c r="M24" s="89"/>
      <c r="N24" s="89"/>
      <c r="O24" s="54"/>
      <c r="P24" s="54"/>
      <c r="Q24" s="54"/>
      <c r="R24" s="54"/>
      <c r="S24" s="54"/>
    </row>
    <row r="25" spans="1:19" x14ac:dyDescent="0.25">
      <c r="A25" s="54"/>
      <c r="B25" s="89"/>
      <c r="C25" s="89"/>
      <c r="D25" s="89"/>
      <c r="E25" s="89"/>
      <c r="F25" s="89"/>
      <c r="G25" s="89"/>
      <c r="H25" s="89"/>
      <c r="I25" s="89"/>
      <c r="J25" s="89"/>
      <c r="K25" s="89"/>
      <c r="L25" s="89"/>
      <c r="M25" s="89"/>
      <c r="N25" s="89"/>
      <c r="O25" s="54"/>
      <c r="P25" s="54"/>
      <c r="Q25" s="54"/>
      <c r="R25" s="54"/>
      <c r="S25" s="54"/>
    </row>
    <row r="26" spans="1:19" x14ac:dyDescent="0.25">
      <c r="A26" s="54"/>
      <c r="B26" s="89"/>
      <c r="C26" s="89"/>
      <c r="D26" s="89"/>
      <c r="E26" s="89"/>
      <c r="F26" s="89"/>
      <c r="G26" s="89"/>
      <c r="H26" s="89"/>
      <c r="I26" s="89"/>
      <c r="J26" s="89"/>
      <c r="K26" s="89"/>
      <c r="L26" s="89"/>
      <c r="M26" s="89"/>
      <c r="N26" s="89"/>
      <c r="O26" s="54"/>
      <c r="P26" s="54"/>
      <c r="Q26" s="54"/>
      <c r="R26" s="54"/>
      <c r="S26" s="54"/>
    </row>
    <row r="27" spans="1:19" x14ac:dyDescent="0.25">
      <c r="A27" s="54"/>
      <c r="B27" s="126"/>
      <c r="C27" s="126"/>
      <c r="D27" s="126"/>
      <c r="E27" s="126"/>
      <c r="F27" s="126"/>
      <c r="G27" s="126"/>
      <c r="H27" s="126"/>
      <c r="I27" s="126"/>
      <c r="J27" s="126"/>
      <c r="K27" s="126"/>
      <c r="L27" s="126"/>
      <c r="M27" s="126"/>
      <c r="N27" s="126"/>
      <c r="O27" s="54"/>
      <c r="P27" s="54"/>
      <c r="Q27" s="54"/>
      <c r="R27" s="54"/>
      <c r="S27" s="54"/>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14"/>
  <sheetViews>
    <sheetView topLeftCell="E1" zoomScaleNormal="100" workbookViewId="0">
      <selection activeCell="L15" sqref="L15"/>
    </sheetView>
  </sheetViews>
  <sheetFormatPr defaultRowHeight="15" x14ac:dyDescent="0.25"/>
  <cols>
    <col min="2" max="2" width="13.7109375" customWidth="1"/>
    <col min="4" max="4" width="28.5703125" customWidth="1"/>
    <col min="6" max="6" width="28.85546875" customWidth="1"/>
    <col min="7" max="7" width="12.42578125" customWidth="1"/>
    <col min="8" max="8" width="12.7109375" customWidth="1"/>
    <col min="9" max="9" width="13.5703125" customWidth="1"/>
  </cols>
  <sheetData>
    <row r="1" spans="1:14" ht="89.25" x14ac:dyDescent="0.25">
      <c r="A1" s="60" t="s">
        <v>357</v>
      </c>
      <c r="B1" s="39" t="s">
        <v>1014</v>
      </c>
      <c r="C1" s="39"/>
      <c r="D1" s="43" t="s">
        <v>1015</v>
      </c>
      <c r="E1" s="43" t="s">
        <v>1016</v>
      </c>
      <c r="F1" s="39" t="s">
        <v>1017</v>
      </c>
      <c r="G1" s="43" t="s">
        <v>972</v>
      </c>
      <c r="H1" s="43" t="s">
        <v>188</v>
      </c>
      <c r="I1" s="43" t="s">
        <v>189</v>
      </c>
      <c r="K1" s="96"/>
      <c r="L1" s="96"/>
      <c r="M1" s="96"/>
      <c r="N1" s="96"/>
    </row>
    <row r="2" spans="1:14" x14ac:dyDescent="0.25">
      <c r="A2" s="40" t="s">
        <v>980</v>
      </c>
      <c r="B2" s="134" t="s">
        <v>190</v>
      </c>
      <c r="C2" s="44"/>
      <c r="D2" s="40" t="s">
        <v>191</v>
      </c>
      <c r="E2" s="45">
        <v>1772</v>
      </c>
      <c r="F2" s="40" t="s">
        <v>192</v>
      </c>
      <c r="G2" s="45">
        <v>12.6</v>
      </c>
      <c r="H2" s="41">
        <v>100</v>
      </c>
      <c r="I2" s="41">
        <v>46</v>
      </c>
      <c r="K2" s="96"/>
      <c r="L2" s="96"/>
      <c r="M2" s="96"/>
      <c r="N2" s="96"/>
    </row>
    <row r="3" spans="1:14" x14ac:dyDescent="0.25">
      <c r="A3" s="40" t="s">
        <v>981</v>
      </c>
      <c r="B3" s="134"/>
      <c r="C3" s="44"/>
      <c r="D3" s="40" t="s">
        <v>193</v>
      </c>
      <c r="E3" s="45">
        <v>139</v>
      </c>
      <c r="F3" s="40" t="s">
        <v>194</v>
      </c>
      <c r="G3" s="45">
        <v>6.5</v>
      </c>
      <c r="H3" s="41">
        <v>93</v>
      </c>
      <c r="I3" s="41">
        <v>100</v>
      </c>
      <c r="K3" s="96"/>
      <c r="L3" s="96"/>
      <c r="M3" s="96"/>
      <c r="N3" s="96"/>
    </row>
    <row r="4" spans="1:14" x14ac:dyDescent="0.25">
      <c r="A4" s="40" t="s">
        <v>982</v>
      </c>
      <c r="B4" s="134"/>
      <c r="C4" s="44"/>
      <c r="D4" s="40" t="s">
        <v>191</v>
      </c>
      <c r="E4" s="45">
        <v>925</v>
      </c>
      <c r="F4" s="40" t="s">
        <v>195</v>
      </c>
      <c r="G4" s="45">
        <v>7.4</v>
      </c>
      <c r="H4" s="41">
        <v>90</v>
      </c>
      <c r="I4" s="41">
        <v>98</v>
      </c>
      <c r="K4" s="96"/>
      <c r="L4" s="96"/>
      <c r="M4" s="96"/>
      <c r="N4" s="96"/>
    </row>
    <row r="5" spans="1:14" x14ac:dyDescent="0.25">
      <c r="A5" s="40" t="s">
        <v>983</v>
      </c>
      <c r="B5" s="134"/>
      <c r="C5" s="44"/>
      <c r="D5" s="40" t="s">
        <v>191</v>
      </c>
      <c r="E5" s="45">
        <v>824</v>
      </c>
      <c r="F5" s="40" t="s">
        <v>196</v>
      </c>
      <c r="G5" s="93">
        <v>31.6</v>
      </c>
      <c r="H5" s="41">
        <v>100</v>
      </c>
      <c r="I5" s="41">
        <v>100</v>
      </c>
      <c r="K5" s="97"/>
      <c r="L5" s="96"/>
      <c r="M5" s="96"/>
      <c r="N5" s="96"/>
    </row>
    <row r="6" spans="1:14" x14ac:dyDescent="0.25">
      <c r="A6" s="40" t="s">
        <v>984</v>
      </c>
      <c r="B6" s="134"/>
      <c r="C6" s="44"/>
      <c r="D6" s="40" t="s">
        <v>197</v>
      </c>
      <c r="E6" s="45">
        <v>31</v>
      </c>
      <c r="F6" s="40" t="s">
        <v>198</v>
      </c>
      <c r="G6" s="93">
        <v>8.6999999999999993</v>
      </c>
      <c r="H6" s="41">
        <v>100</v>
      </c>
      <c r="I6" s="41">
        <v>100</v>
      </c>
      <c r="K6" s="96"/>
      <c r="L6" s="96"/>
      <c r="M6" s="96"/>
      <c r="N6" s="96"/>
    </row>
    <row r="7" spans="1:14" x14ac:dyDescent="0.25">
      <c r="A7" s="40" t="s">
        <v>985</v>
      </c>
      <c r="B7" s="134"/>
      <c r="C7" s="44"/>
      <c r="D7" s="40" t="s">
        <v>199</v>
      </c>
      <c r="E7" s="45">
        <v>3565</v>
      </c>
      <c r="F7" s="40" t="s">
        <v>200</v>
      </c>
      <c r="G7" s="45">
        <v>4.2</v>
      </c>
      <c r="H7" s="41">
        <v>85</v>
      </c>
      <c r="I7" s="41">
        <v>62</v>
      </c>
      <c r="K7" s="96"/>
      <c r="L7" s="96"/>
      <c r="M7" s="96"/>
      <c r="N7" s="96"/>
    </row>
    <row r="8" spans="1:14" x14ac:dyDescent="0.25">
      <c r="A8" s="40" t="s">
        <v>979</v>
      </c>
      <c r="B8" s="134"/>
      <c r="C8" s="44"/>
      <c r="D8" s="40" t="s">
        <v>201</v>
      </c>
      <c r="E8" s="45">
        <v>7.41</v>
      </c>
      <c r="F8" s="40" t="s">
        <v>202</v>
      </c>
      <c r="G8" s="93">
        <v>7.9</v>
      </c>
      <c r="H8" s="41">
        <v>100</v>
      </c>
      <c r="I8" s="41">
        <v>100</v>
      </c>
      <c r="K8" s="96"/>
      <c r="L8" s="96"/>
      <c r="M8" s="96"/>
      <c r="N8" s="97"/>
    </row>
    <row r="9" spans="1:14" x14ac:dyDescent="0.25">
      <c r="A9" s="135" t="s">
        <v>203</v>
      </c>
      <c r="B9" s="135"/>
      <c r="C9" s="135"/>
      <c r="D9" s="135"/>
      <c r="E9" s="135"/>
      <c r="F9" s="46"/>
      <c r="G9" s="46"/>
      <c r="H9" s="46"/>
      <c r="I9" s="46"/>
      <c r="K9" s="96"/>
      <c r="L9" s="96"/>
      <c r="M9" s="96"/>
      <c r="N9" s="96"/>
    </row>
    <row r="10" spans="1:14" x14ac:dyDescent="0.25">
      <c r="K10" s="96"/>
      <c r="L10" s="96"/>
      <c r="M10" s="96"/>
      <c r="N10" s="96"/>
    </row>
    <row r="11" spans="1:14" x14ac:dyDescent="0.25">
      <c r="K11" s="96"/>
      <c r="L11" s="96"/>
      <c r="M11" s="96"/>
      <c r="N11" s="92"/>
    </row>
    <row r="12" spans="1:14" x14ac:dyDescent="0.25">
      <c r="K12" s="96"/>
      <c r="L12" s="96"/>
      <c r="M12" s="96"/>
      <c r="N12" s="96"/>
    </row>
    <row r="13" spans="1:14" x14ac:dyDescent="0.25">
      <c r="K13" s="96"/>
      <c r="L13" s="96"/>
      <c r="M13" s="96"/>
      <c r="N13" s="96"/>
    </row>
    <row r="14" spans="1:14" x14ac:dyDescent="0.25">
      <c r="K14" s="96"/>
      <c r="L14" s="96"/>
      <c r="M14" s="96"/>
      <c r="N14" s="96"/>
    </row>
  </sheetData>
  <mergeCells count="2">
    <mergeCell ref="B2:B8"/>
    <mergeCell ref="A9:E9"/>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K21"/>
  <sheetViews>
    <sheetView workbookViewId="0">
      <selection activeCell="Q6" sqref="Q6"/>
    </sheetView>
  </sheetViews>
  <sheetFormatPr defaultRowHeight="15" x14ac:dyDescent="0.25"/>
  <cols>
    <col min="2" max="2" width="9.7109375" bestFit="1" customWidth="1"/>
  </cols>
  <sheetData>
    <row r="1" spans="1:11" x14ac:dyDescent="0.25">
      <c r="A1" s="136" t="s">
        <v>39</v>
      </c>
      <c r="B1" s="137" t="s">
        <v>40</v>
      </c>
      <c r="C1" s="15" t="s">
        <v>41</v>
      </c>
      <c r="D1" s="15" t="s">
        <v>41</v>
      </c>
      <c r="E1" s="16" t="s">
        <v>44</v>
      </c>
      <c r="F1" s="15" t="s">
        <v>46</v>
      </c>
      <c r="G1" s="15" t="s">
        <v>47</v>
      </c>
      <c r="H1" s="16" t="s">
        <v>47</v>
      </c>
      <c r="I1" s="16" t="s">
        <v>47</v>
      </c>
    </row>
    <row r="2" spans="1:11" x14ac:dyDescent="0.25">
      <c r="A2" s="136"/>
      <c r="B2" s="137"/>
      <c r="C2" s="15" t="s">
        <v>42</v>
      </c>
      <c r="D2" s="15" t="s">
        <v>43</v>
      </c>
      <c r="E2" s="16" t="s">
        <v>45</v>
      </c>
      <c r="F2" s="15" t="s">
        <v>45</v>
      </c>
      <c r="G2" s="15" t="s">
        <v>45</v>
      </c>
      <c r="H2" s="16" t="s">
        <v>48</v>
      </c>
      <c r="I2" s="16" t="s">
        <v>49</v>
      </c>
    </row>
    <row r="3" spans="1:11" x14ac:dyDescent="0.25">
      <c r="A3" s="17" t="s">
        <v>50</v>
      </c>
      <c r="B3" s="18" t="s">
        <v>51</v>
      </c>
      <c r="C3" s="19">
        <v>95</v>
      </c>
      <c r="D3" s="19">
        <v>75</v>
      </c>
      <c r="E3" s="20">
        <v>44.8</v>
      </c>
      <c r="F3" s="19">
        <v>2.9</v>
      </c>
      <c r="G3" s="19">
        <v>95</v>
      </c>
      <c r="H3" s="20">
        <v>75</v>
      </c>
      <c r="I3" s="20">
        <v>60</v>
      </c>
    </row>
    <row r="4" spans="1:11" x14ac:dyDescent="0.25">
      <c r="A4" s="17" t="s">
        <v>28</v>
      </c>
      <c r="B4" s="18" t="s">
        <v>51</v>
      </c>
      <c r="C4" s="19">
        <v>5</v>
      </c>
      <c r="D4" s="19">
        <v>25</v>
      </c>
      <c r="E4" s="20">
        <v>55.2</v>
      </c>
      <c r="F4" s="19">
        <v>97.1</v>
      </c>
      <c r="G4" s="19">
        <v>5</v>
      </c>
      <c r="H4" s="20">
        <v>25</v>
      </c>
      <c r="I4" s="20">
        <v>40</v>
      </c>
    </row>
    <row r="5" spans="1:11" x14ac:dyDescent="0.25">
      <c r="A5" s="17" t="s">
        <v>52</v>
      </c>
      <c r="B5" s="18" t="s">
        <v>53</v>
      </c>
      <c r="C5" s="19">
        <v>75</v>
      </c>
      <c r="D5" s="19">
        <v>57.5</v>
      </c>
      <c r="E5" s="20">
        <v>78.5</v>
      </c>
      <c r="F5" s="19">
        <v>66.599999999999994</v>
      </c>
      <c r="G5" s="19">
        <v>66.2</v>
      </c>
      <c r="H5" s="20">
        <v>72</v>
      </c>
      <c r="I5" s="20">
        <v>43</v>
      </c>
    </row>
    <row r="6" spans="1:11" x14ac:dyDescent="0.25">
      <c r="A6" s="17" t="s">
        <v>54</v>
      </c>
      <c r="B6" s="18" t="s">
        <v>53</v>
      </c>
      <c r="C6" s="19">
        <v>25</v>
      </c>
      <c r="D6" s="19">
        <v>42.5</v>
      </c>
      <c r="E6" s="20">
        <v>21.5</v>
      </c>
      <c r="F6" s="19">
        <v>33.4</v>
      </c>
      <c r="G6" s="19">
        <v>33.799999999999997</v>
      </c>
      <c r="H6" s="20">
        <v>28</v>
      </c>
      <c r="I6" s="20">
        <v>57</v>
      </c>
    </row>
    <row r="7" spans="1:11" ht="15.75" x14ac:dyDescent="0.25">
      <c r="A7" s="17" t="s">
        <v>55</v>
      </c>
      <c r="B7" s="18" t="s">
        <v>56</v>
      </c>
      <c r="C7" s="19">
        <v>18.8</v>
      </c>
      <c r="D7" s="19">
        <v>13.5</v>
      </c>
      <c r="E7" s="20">
        <v>15.3</v>
      </c>
      <c r="F7" s="19">
        <v>10.1</v>
      </c>
      <c r="G7" s="19">
        <v>18.8</v>
      </c>
      <c r="H7" s="20">
        <v>21</v>
      </c>
      <c r="I7" s="20">
        <v>13</v>
      </c>
      <c r="K7" s="89"/>
    </row>
    <row r="8" spans="1:11" ht="15.75" x14ac:dyDescent="0.25">
      <c r="A8" s="17" t="s">
        <v>57</v>
      </c>
      <c r="B8" s="18" t="s">
        <v>58</v>
      </c>
      <c r="C8" s="19">
        <v>-1.4</v>
      </c>
      <c r="D8" s="19">
        <v>1.54</v>
      </c>
      <c r="E8" s="20">
        <v>7.35</v>
      </c>
      <c r="F8" s="19">
        <v>9.74</v>
      </c>
      <c r="G8" s="19">
        <v>2.9</v>
      </c>
      <c r="H8" s="20">
        <v>3.3</v>
      </c>
      <c r="I8" s="20">
        <v>3.7</v>
      </c>
      <c r="K8" s="89"/>
    </row>
    <row r="9" spans="1:11" ht="15.75" x14ac:dyDescent="0.25">
      <c r="A9" s="17" t="s">
        <v>59</v>
      </c>
      <c r="B9" s="18" t="s">
        <v>60</v>
      </c>
      <c r="C9" s="19">
        <v>546</v>
      </c>
      <c r="D9" s="19" t="s">
        <v>61</v>
      </c>
      <c r="E9" s="20">
        <v>416</v>
      </c>
      <c r="F9" s="19">
        <v>519</v>
      </c>
      <c r="G9" s="19">
        <v>450</v>
      </c>
      <c r="H9" s="21">
        <v>450</v>
      </c>
      <c r="I9" s="20" t="s">
        <v>61</v>
      </c>
      <c r="K9" s="89"/>
    </row>
    <row r="10" spans="1:11" x14ac:dyDescent="0.25">
      <c r="A10" s="17" t="s">
        <v>62</v>
      </c>
      <c r="B10" s="18" t="s">
        <v>53</v>
      </c>
      <c r="C10" s="19">
        <v>40</v>
      </c>
      <c r="D10" s="19">
        <v>35</v>
      </c>
      <c r="E10" s="20">
        <v>39</v>
      </c>
      <c r="F10" s="19">
        <v>39</v>
      </c>
      <c r="G10" s="19">
        <v>35</v>
      </c>
      <c r="H10" s="20">
        <v>41</v>
      </c>
      <c r="I10" s="20">
        <v>26</v>
      </c>
      <c r="K10" s="89"/>
    </row>
    <row r="11" spans="1:11" x14ac:dyDescent="0.25">
      <c r="A11" s="17" t="s">
        <v>13</v>
      </c>
      <c r="B11" s="18" t="s">
        <v>53</v>
      </c>
      <c r="C11" s="19">
        <v>0.3</v>
      </c>
      <c r="D11" s="19">
        <v>0.56000000000000005</v>
      </c>
      <c r="E11" s="20">
        <v>2.5</v>
      </c>
      <c r="F11" s="19">
        <v>0.56999999999999995</v>
      </c>
      <c r="G11" s="19">
        <v>1.6</v>
      </c>
      <c r="H11" s="20">
        <v>0.73</v>
      </c>
      <c r="I11" s="20">
        <v>1.1000000000000001</v>
      </c>
      <c r="K11" s="90"/>
    </row>
    <row r="12" spans="1:11" x14ac:dyDescent="0.25">
      <c r="A12" s="17" t="s">
        <v>11</v>
      </c>
      <c r="B12" s="18" t="s">
        <v>53</v>
      </c>
      <c r="C12" s="19">
        <v>4.4000000000000004</v>
      </c>
      <c r="D12" s="19">
        <v>9.3000000000000007</v>
      </c>
      <c r="E12" s="20">
        <v>4.2</v>
      </c>
      <c r="F12" s="19">
        <v>9.1</v>
      </c>
      <c r="G12" s="19">
        <v>5</v>
      </c>
      <c r="H12" s="20">
        <v>2.7</v>
      </c>
      <c r="I12" s="20">
        <v>3</v>
      </c>
    </row>
    <row r="13" spans="1:11" x14ac:dyDescent="0.25">
      <c r="A13" s="17" t="s">
        <v>29</v>
      </c>
      <c r="B13" s="18" t="s">
        <v>53</v>
      </c>
      <c r="C13" s="19">
        <v>2.5</v>
      </c>
      <c r="D13" s="19">
        <v>5.2</v>
      </c>
      <c r="E13" s="20">
        <v>1.4</v>
      </c>
      <c r="F13" s="19">
        <v>3.3</v>
      </c>
      <c r="G13" s="19">
        <v>1.1000000000000001</v>
      </c>
      <c r="H13" s="20">
        <v>1.2</v>
      </c>
      <c r="I13" s="20">
        <v>1.9</v>
      </c>
    </row>
    <row r="14" spans="1:11" x14ac:dyDescent="0.25">
      <c r="A14" s="17" t="s">
        <v>30</v>
      </c>
      <c r="B14" s="18" t="s">
        <v>53</v>
      </c>
      <c r="C14" s="22">
        <v>4.0000000000000002E-4</v>
      </c>
      <c r="D14" s="22">
        <v>8.4999999999999995E-4</v>
      </c>
      <c r="E14" s="23">
        <v>3.6000000000000001E-5</v>
      </c>
      <c r="F14" s="22">
        <v>0</v>
      </c>
      <c r="G14" s="22">
        <v>2.1000000000000001E-4</v>
      </c>
      <c r="H14" s="23">
        <v>3.4000000000000002E-4</v>
      </c>
      <c r="I14" s="23">
        <v>5.4000000000000001E-4</v>
      </c>
    </row>
    <row r="15" spans="1:11" x14ac:dyDescent="0.25">
      <c r="A15" s="17" t="s">
        <v>32</v>
      </c>
      <c r="B15" s="18" t="s">
        <v>53</v>
      </c>
      <c r="C15" s="22">
        <v>9.6000000000000002E-5</v>
      </c>
      <c r="D15" s="22">
        <v>2.0000000000000001E-4</v>
      </c>
      <c r="E15" s="23">
        <v>2.0999999999999999E-5</v>
      </c>
      <c r="F15" s="22">
        <v>5.0000000000000002E-5</v>
      </c>
      <c r="G15" s="22">
        <v>2.0000000000000002E-5</v>
      </c>
      <c r="H15" s="23">
        <v>1.1E-5</v>
      </c>
      <c r="I15" s="23">
        <v>1.7E-5</v>
      </c>
    </row>
    <row r="16" spans="1:11" x14ac:dyDescent="0.25">
      <c r="A16" s="17" t="s">
        <v>33</v>
      </c>
      <c r="B16" s="18" t="s">
        <v>53</v>
      </c>
      <c r="C16" s="22">
        <v>3.7000000000000002E-3</v>
      </c>
      <c r="D16" s="22">
        <v>7.7999999999999996E-3</v>
      </c>
      <c r="E16" s="23">
        <v>3.8999999999999999E-4</v>
      </c>
      <c r="F16" s="22">
        <v>5.1999999999999995E-4</v>
      </c>
      <c r="G16" s="22">
        <v>5.5999999999999995E-4</v>
      </c>
      <c r="H16" s="23">
        <v>3.3E-4</v>
      </c>
      <c r="I16" s="23">
        <v>5.1999999999999995E-4</v>
      </c>
    </row>
    <row r="17" spans="1:9" x14ac:dyDescent="0.25">
      <c r="A17" s="17" t="s">
        <v>34</v>
      </c>
      <c r="B17" s="18" t="s">
        <v>53</v>
      </c>
      <c r="C17" s="22">
        <v>0.03</v>
      </c>
      <c r="D17" s="22">
        <v>6.4000000000000001E-2</v>
      </c>
      <c r="E17" s="23">
        <v>7.9000000000000008E-3</v>
      </c>
      <c r="F17" s="22">
        <v>7.2999999999999996E-4</v>
      </c>
      <c r="G17" s="22">
        <v>6.1999999999999998E-3</v>
      </c>
      <c r="H17" s="23">
        <v>6.7999999999999996E-3</v>
      </c>
      <c r="I17" s="23">
        <v>1.0999999999999999E-2</v>
      </c>
    </row>
    <row r="18" spans="1:9" x14ac:dyDescent="0.25">
      <c r="A18" s="17" t="s">
        <v>31</v>
      </c>
      <c r="B18" s="18" t="s">
        <v>53</v>
      </c>
      <c r="C18" s="22">
        <v>5.8999999999999998E-5</v>
      </c>
      <c r="D18" s="22">
        <v>1.2999999999999999E-4</v>
      </c>
      <c r="E18" s="23">
        <v>0</v>
      </c>
      <c r="F18" s="22">
        <v>4.9999999999999998E-7</v>
      </c>
      <c r="G18" s="22">
        <v>0</v>
      </c>
      <c r="H18" s="23">
        <v>0</v>
      </c>
      <c r="I18" s="23">
        <v>0</v>
      </c>
    </row>
    <row r="19" spans="1:9" x14ac:dyDescent="0.25">
      <c r="A19" s="17" t="s">
        <v>35</v>
      </c>
      <c r="B19" s="18" t="s">
        <v>53</v>
      </c>
      <c r="C19" s="22">
        <v>2.5000000000000001E-3</v>
      </c>
      <c r="D19" s="22">
        <v>5.3E-3</v>
      </c>
      <c r="E19" s="23">
        <v>4.5999999999999999E-3</v>
      </c>
      <c r="F19" s="22">
        <v>2.3000000000000001E-4</v>
      </c>
      <c r="G19" s="22">
        <v>6.3000000000000003E-4</v>
      </c>
      <c r="H19" s="23">
        <v>6.4999999999999994E-5</v>
      </c>
      <c r="I19" s="23">
        <v>1E-4</v>
      </c>
    </row>
    <row r="20" spans="1:9" x14ac:dyDescent="0.25">
      <c r="A20" s="17" t="s">
        <v>36</v>
      </c>
      <c r="B20" s="18" t="s">
        <v>53</v>
      </c>
      <c r="C20" s="22">
        <v>3.7000000000000002E-3</v>
      </c>
      <c r="D20" s="22">
        <v>7.9000000000000008E-3</v>
      </c>
      <c r="E20" s="23">
        <v>2.0000000000000001E-4</v>
      </c>
      <c r="F20" s="22">
        <v>2.5999999999999998E-4</v>
      </c>
      <c r="G20" s="22">
        <v>4.0999999999999999E-4</v>
      </c>
      <c r="H20" s="23">
        <v>2.9999999999999997E-4</v>
      </c>
      <c r="I20" s="23">
        <v>4.6999999999999999E-4</v>
      </c>
    </row>
    <row r="21" spans="1:9" x14ac:dyDescent="0.25">
      <c r="A21" s="17" t="s">
        <v>37</v>
      </c>
      <c r="B21" s="18" t="s">
        <v>53</v>
      </c>
      <c r="C21" s="22">
        <v>7.0999999999999994E-2</v>
      </c>
      <c r="D21" s="22">
        <v>0.15</v>
      </c>
      <c r="E21" s="23">
        <v>0.04</v>
      </c>
      <c r="F21" s="22">
        <v>8.0000000000000002E-3</v>
      </c>
      <c r="G21" s="22">
        <v>3.5000000000000003E-2</v>
      </c>
      <c r="H21" s="23">
        <v>2.7E-2</v>
      </c>
      <c r="I21" s="23">
        <v>4.2999999999999997E-2</v>
      </c>
    </row>
  </sheetData>
  <mergeCells count="2">
    <mergeCell ref="A1:A2"/>
    <mergeCell ref="B1:B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K14"/>
  <sheetViews>
    <sheetView workbookViewId="0">
      <selection activeCell="S8" sqref="S8"/>
    </sheetView>
  </sheetViews>
  <sheetFormatPr defaultRowHeight="15" x14ac:dyDescent="0.25"/>
  <cols>
    <col min="1" max="1" width="6" customWidth="1"/>
    <col min="2" max="2" width="10.28515625" customWidth="1"/>
  </cols>
  <sheetData>
    <row r="1" spans="1:11" x14ac:dyDescent="0.25">
      <c r="A1" s="47"/>
      <c r="B1" s="47"/>
      <c r="C1" s="138" t="s">
        <v>822</v>
      </c>
      <c r="D1" s="138"/>
      <c r="E1" s="138"/>
      <c r="F1" s="138"/>
      <c r="G1" s="138"/>
      <c r="H1" s="138"/>
      <c r="I1" s="138"/>
    </row>
    <row r="2" spans="1:11" x14ac:dyDescent="0.25">
      <c r="A2" s="47"/>
      <c r="B2" s="47"/>
      <c r="C2" s="91" t="s">
        <v>980</v>
      </c>
      <c r="D2" s="91" t="s">
        <v>981</v>
      </c>
      <c r="E2" s="91" t="s">
        <v>982</v>
      </c>
      <c r="F2" s="91" t="s">
        <v>983</v>
      </c>
      <c r="G2" s="91" t="s">
        <v>984</v>
      </c>
      <c r="H2" s="91" t="s">
        <v>985</v>
      </c>
      <c r="I2" s="91" t="s">
        <v>979</v>
      </c>
    </row>
    <row r="3" spans="1:11" x14ac:dyDescent="0.25">
      <c r="A3" s="40" t="s">
        <v>62</v>
      </c>
      <c r="B3" s="18" t="s">
        <v>53</v>
      </c>
      <c r="C3" s="26">
        <v>0.1</v>
      </c>
      <c r="D3" s="26">
        <v>1.0871932710800023</v>
      </c>
      <c r="E3" s="48" t="s">
        <v>824</v>
      </c>
      <c r="F3" s="26">
        <v>0</v>
      </c>
      <c r="G3" s="26">
        <v>0</v>
      </c>
      <c r="H3" s="48">
        <v>32.807272727272732</v>
      </c>
      <c r="I3" s="48" t="s">
        <v>342</v>
      </c>
    </row>
    <row r="4" spans="1:11" x14ac:dyDescent="0.25">
      <c r="A4" s="40" t="s">
        <v>13</v>
      </c>
      <c r="B4" s="18" t="s">
        <v>53</v>
      </c>
      <c r="C4" s="26">
        <v>0</v>
      </c>
      <c r="D4" s="26">
        <v>11.571703315800463</v>
      </c>
      <c r="E4" s="48">
        <v>0.81064033558907089</v>
      </c>
      <c r="F4" s="26">
        <v>0</v>
      </c>
      <c r="G4" s="26">
        <v>1.7013181545835798</v>
      </c>
      <c r="H4" s="48">
        <v>2.5138038981264454</v>
      </c>
      <c r="I4" s="48" t="s">
        <v>342</v>
      </c>
    </row>
    <row r="5" spans="1:11" x14ac:dyDescent="0.25">
      <c r="A5" s="40" t="s">
        <v>11</v>
      </c>
      <c r="B5" s="18" t="s">
        <v>53</v>
      </c>
      <c r="C5" s="26">
        <v>5.7</v>
      </c>
      <c r="D5" s="26">
        <v>0</v>
      </c>
      <c r="E5" s="26">
        <v>0</v>
      </c>
      <c r="F5" s="26">
        <v>0</v>
      </c>
      <c r="G5" s="26">
        <v>0</v>
      </c>
      <c r="H5" s="48">
        <v>2.9612546996177378</v>
      </c>
      <c r="I5" s="48" t="s">
        <v>342</v>
      </c>
    </row>
    <row r="6" spans="1:11" x14ac:dyDescent="0.25">
      <c r="A6" s="40" t="s">
        <v>29</v>
      </c>
      <c r="B6" s="18" t="s">
        <v>53</v>
      </c>
      <c r="C6" s="26">
        <v>12.6</v>
      </c>
      <c r="D6" s="26">
        <v>6.4972078689436792</v>
      </c>
      <c r="E6" s="48">
        <v>7.4005606302257014</v>
      </c>
      <c r="F6" s="95">
        <v>31.632653061224492</v>
      </c>
      <c r="G6" s="95">
        <v>8.6999999999999993</v>
      </c>
      <c r="H6" s="48">
        <v>4.1529671380704434</v>
      </c>
      <c r="I6" s="94">
        <v>7.9</v>
      </c>
    </row>
    <row r="7" spans="1:11" ht="15.75" x14ac:dyDescent="0.25">
      <c r="A7" s="40" t="s">
        <v>30</v>
      </c>
      <c r="B7" s="18" t="s">
        <v>823</v>
      </c>
      <c r="C7" s="26" t="s">
        <v>824</v>
      </c>
      <c r="D7" s="49">
        <v>1.6420775308756539</v>
      </c>
      <c r="E7" s="50">
        <v>3.9999999999999996</v>
      </c>
      <c r="F7" s="26" t="s">
        <v>824</v>
      </c>
      <c r="G7" s="26" t="s">
        <v>824</v>
      </c>
      <c r="H7" s="48">
        <v>11.836693986062389</v>
      </c>
      <c r="I7" s="50">
        <v>7.4303320147500003</v>
      </c>
      <c r="K7" s="51"/>
    </row>
    <row r="8" spans="1:11" ht="15.75" x14ac:dyDescent="0.25">
      <c r="A8" s="40" t="s">
        <v>32</v>
      </c>
      <c r="B8" s="18" t="s">
        <v>823</v>
      </c>
      <c r="C8" s="26" t="s">
        <v>824</v>
      </c>
      <c r="D8" s="49">
        <v>0.95429594272077167</v>
      </c>
      <c r="E8" s="50">
        <v>0.37</v>
      </c>
      <c r="F8" s="26" t="s">
        <v>824</v>
      </c>
      <c r="G8" s="49">
        <v>1.6472940611026041</v>
      </c>
      <c r="H8" s="48" t="s">
        <v>824</v>
      </c>
      <c r="I8" s="50">
        <v>26.833465649699999</v>
      </c>
      <c r="K8" s="51"/>
    </row>
    <row r="9" spans="1:11" ht="15.75" x14ac:dyDescent="0.25">
      <c r="A9" s="40" t="s">
        <v>33</v>
      </c>
      <c r="B9" s="18" t="s">
        <v>823</v>
      </c>
      <c r="C9" s="26" t="s">
        <v>824</v>
      </c>
      <c r="D9" s="49">
        <v>18.05821906063921</v>
      </c>
      <c r="E9" s="50">
        <v>127</v>
      </c>
      <c r="F9" s="49">
        <v>5</v>
      </c>
      <c r="G9" s="49">
        <v>18.031247474648914</v>
      </c>
      <c r="H9" s="48">
        <v>11.556407080550407</v>
      </c>
      <c r="I9" s="50">
        <v>141.5165304274</v>
      </c>
    </row>
    <row r="10" spans="1:11" ht="15.75" x14ac:dyDescent="0.25">
      <c r="A10" s="40" t="s">
        <v>34</v>
      </c>
      <c r="B10" s="18" t="s">
        <v>823</v>
      </c>
      <c r="C10" s="26" t="s">
        <v>824</v>
      </c>
      <c r="D10" s="49">
        <v>366.03811710730889</v>
      </c>
      <c r="E10" s="50">
        <v>601</v>
      </c>
      <c r="F10" s="49">
        <v>5</v>
      </c>
      <c r="G10" s="49">
        <v>23.587888970510921</v>
      </c>
      <c r="H10" s="48">
        <v>235.84658684024399</v>
      </c>
      <c r="I10" s="50">
        <v>49.700571255</v>
      </c>
    </row>
    <row r="11" spans="1:11" ht="15.75" x14ac:dyDescent="0.25">
      <c r="A11" s="40" t="s">
        <v>31</v>
      </c>
      <c r="B11" s="18" t="s">
        <v>823</v>
      </c>
      <c r="C11" s="26" t="s">
        <v>824</v>
      </c>
      <c r="D11" s="49">
        <v>0</v>
      </c>
      <c r="E11" s="50">
        <v>0.70000000000000007</v>
      </c>
      <c r="F11" s="26" t="s">
        <v>824</v>
      </c>
      <c r="G11" s="26" t="s">
        <v>824</v>
      </c>
      <c r="H11" s="48" t="s">
        <v>824</v>
      </c>
      <c r="I11" s="50" t="s">
        <v>824</v>
      </c>
    </row>
    <row r="12" spans="1:11" ht="15.75" x14ac:dyDescent="0.25">
      <c r="A12" s="40" t="s">
        <v>35</v>
      </c>
      <c r="B12" s="18" t="s">
        <v>823</v>
      </c>
      <c r="C12" s="26" t="s">
        <v>824</v>
      </c>
      <c r="D12" s="49">
        <v>213.38178186621036</v>
      </c>
      <c r="E12" s="50">
        <v>56</v>
      </c>
      <c r="F12" s="26" t="s">
        <v>824</v>
      </c>
      <c r="G12" s="49">
        <v>7.5669308720662567</v>
      </c>
      <c r="H12" s="48">
        <v>2.2609224590214874</v>
      </c>
      <c r="I12" s="50">
        <v>27.810548231199999</v>
      </c>
    </row>
    <row r="13" spans="1:11" ht="15.75" x14ac:dyDescent="0.25">
      <c r="A13" s="40" t="s">
        <v>36</v>
      </c>
      <c r="B13" s="18" t="s">
        <v>823</v>
      </c>
      <c r="C13" s="26" t="s">
        <v>824</v>
      </c>
      <c r="D13" s="49">
        <v>9.2463136918692985</v>
      </c>
      <c r="E13" s="50">
        <v>59.800000000000004</v>
      </c>
      <c r="F13" s="26" t="s">
        <v>824</v>
      </c>
      <c r="G13" s="49">
        <v>8.1878840076689734</v>
      </c>
      <c r="H13" s="48">
        <v>10.399368167831188</v>
      </c>
      <c r="I13" s="50">
        <v>13.326252903600002</v>
      </c>
    </row>
    <row r="14" spans="1:11" ht="15.75" x14ac:dyDescent="0.25">
      <c r="A14" s="40" t="s">
        <v>37</v>
      </c>
      <c r="B14" s="18" t="s">
        <v>823</v>
      </c>
      <c r="C14" s="49">
        <v>2</v>
      </c>
      <c r="D14" s="49">
        <v>284.98526552710462</v>
      </c>
      <c r="E14" s="50">
        <v>1737</v>
      </c>
      <c r="F14" s="49">
        <v>3</v>
      </c>
      <c r="G14" s="49">
        <v>265.30661455943857</v>
      </c>
      <c r="H14" s="48">
        <v>936.79232557511409</v>
      </c>
      <c r="I14" s="50">
        <v>250</v>
      </c>
    </row>
  </sheetData>
  <mergeCells count="1">
    <mergeCell ref="C1:I1"/>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O21"/>
  <sheetViews>
    <sheetView workbookViewId="0">
      <selection activeCell="S9" sqref="S9"/>
    </sheetView>
  </sheetViews>
  <sheetFormatPr defaultRowHeight="15" x14ac:dyDescent="0.25"/>
  <cols>
    <col min="1" max="1" width="13.7109375" bestFit="1" customWidth="1"/>
    <col min="2" max="2" width="5.5703125" bestFit="1" customWidth="1"/>
    <col min="17" max="17" width="12" bestFit="1" customWidth="1"/>
  </cols>
  <sheetData>
    <row r="1" spans="1:15" x14ac:dyDescent="0.25">
      <c r="A1" s="5"/>
      <c r="B1" s="6"/>
      <c r="C1" s="139" t="s">
        <v>973</v>
      </c>
      <c r="D1" s="139"/>
      <c r="E1" s="139" t="s">
        <v>974</v>
      </c>
      <c r="F1" s="139"/>
      <c r="G1" s="139" t="s">
        <v>975</v>
      </c>
      <c r="H1" s="139"/>
      <c r="I1" s="139" t="s">
        <v>976</v>
      </c>
      <c r="J1" s="139"/>
      <c r="K1" s="139" t="s">
        <v>977</v>
      </c>
      <c r="L1" s="139"/>
      <c r="M1" s="139" t="s">
        <v>978</v>
      </c>
      <c r="N1" s="139"/>
      <c r="O1" s="7" t="s">
        <v>979</v>
      </c>
    </row>
    <row r="2" spans="1:15" x14ac:dyDescent="0.25">
      <c r="A2" s="5"/>
      <c r="B2" s="8"/>
      <c r="C2" s="9" t="s">
        <v>980</v>
      </c>
      <c r="D2" s="9" t="s">
        <v>986</v>
      </c>
      <c r="E2" s="9" t="s">
        <v>981</v>
      </c>
      <c r="F2" s="9" t="s">
        <v>987</v>
      </c>
      <c r="G2" s="9" t="s">
        <v>982</v>
      </c>
      <c r="H2" s="9" t="s">
        <v>988</v>
      </c>
      <c r="I2" s="9" t="s">
        <v>983</v>
      </c>
      <c r="J2" s="9" t="s">
        <v>989</v>
      </c>
      <c r="K2" s="9" t="s">
        <v>984</v>
      </c>
      <c r="L2" s="9" t="s">
        <v>990</v>
      </c>
      <c r="M2" s="9" t="s">
        <v>985</v>
      </c>
      <c r="N2" s="9" t="s">
        <v>991</v>
      </c>
      <c r="O2" s="9"/>
    </row>
    <row r="3" spans="1:15" x14ac:dyDescent="0.25">
      <c r="A3" s="12" t="s">
        <v>0</v>
      </c>
      <c r="B3" s="6"/>
      <c r="C3" s="8"/>
      <c r="D3" s="8"/>
      <c r="E3" s="8"/>
      <c r="F3" s="8"/>
      <c r="G3" s="8"/>
      <c r="H3" s="8"/>
      <c r="I3" s="8"/>
      <c r="J3" s="8"/>
      <c r="K3" s="8"/>
      <c r="L3" s="8"/>
      <c r="M3" s="8"/>
      <c r="N3" s="8"/>
      <c r="O3" s="8"/>
    </row>
    <row r="4" spans="1:15" x14ac:dyDescent="0.25">
      <c r="A4" s="6" t="s">
        <v>1</v>
      </c>
      <c r="B4" s="6" t="s">
        <v>2</v>
      </c>
      <c r="C4" s="8">
        <v>1</v>
      </c>
      <c r="D4" s="8"/>
      <c r="E4" s="8">
        <v>1</v>
      </c>
      <c r="F4" s="8"/>
      <c r="G4" s="8">
        <v>1</v>
      </c>
      <c r="H4" s="8"/>
      <c r="I4" s="8">
        <v>1</v>
      </c>
      <c r="J4" s="8"/>
      <c r="K4" s="8">
        <v>1</v>
      </c>
      <c r="L4" s="8"/>
      <c r="M4" s="8">
        <v>1</v>
      </c>
      <c r="N4" s="8"/>
      <c r="O4" s="8">
        <v>1</v>
      </c>
    </row>
    <row r="5" spans="1:15" x14ac:dyDescent="0.25">
      <c r="A5" s="12" t="s">
        <v>3</v>
      </c>
      <c r="B5" s="8"/>
      <c r="C5" s="8"/>
      <c r="D5" s="8"/>
      <c r="E5" s="8"/>
      <c r="F5" s="8"/>
      <c r="G5" s="8"/>
      <c r="H5" s="8"/>
      <c r="I5" s="8"/>
      <c r="J5" s="8"/>
      <c r="K5" s="8"/>
      <c r="L5" s="8"/>
      <c r="M5" s="8"/>
      <c r="N5" s="8"/>
      <c r="O5" s="8"/>
    </row>
    <row r="6" spans="1:15" x14ac:dyDescent="0.25">
      <c r="A6" s="6" t="s">
        <v>4</v>
      </c>
      <c r="B6" s="6" t="s">
        <v>5</v>
      </c>
      <c r="C6" s="8">
        <v>1772</v>
      </c>
      <c r="D6" s="8">
        <v>1772</v>
      </c>
      <c r="E6" s="8">
        <v>139</v>
      </c>
      <c r="F6" s="8">
        <v>139</v>
      </c>
      <c r="G6" s="8">
        <v>926</v>
      </c>
      <c r="H6" s="8">
        <v>926</v>
      </c>
      <c r="I6" s="8">
        <v>824</v>
      </c>
      <c r="J6" s="8">
        <v>824</v>
      </c>
      <c r="K6" s="8">
        <v>31</v>
      </c>
      <c r="L6" s="8">
        <v>31</v>
      </c>
      <c r="M6" s="8">
        <v>3571</v>
      </c>
      <c r="N6" s="8">
        <v>3571</v>
      </c>
      <c r="O6" s="8">
        <v>7.41</v>
      </c>
    </row>
    <row r="7" spans="1:15" x14ac:dyDescent="0.25">
      <c r="A7" s="6" t="s">
        <v>4</v>
      </c>
      <c r="B7" s="6" t="s">
        <v>18</v>
      </c>
      <c r="C7" s="8">
        <v>89</v>
      </c>
      <c r="D7" s="8">
        <v>89</v>
      </c>
      <c r="E7" s="8">
        <v>67</v>
      </c>
      <c r="F7" s="8">
        <v>67</v>
      </c>
      <c r="G7" s="8">
        <v>46</v>
      </c>
      <c r="H7" s="8">
        <v>46</v>
      </c>
      <c r="I7" s="8">
        <v>41</v>
      </c>
      <c r="J7" s="8">
        <v>41</v>
      </c>
      <c r="K7" s="8">
        <v>30</v>
      </c>
      <c r="L7" s="8">
        <v>30</v>
      </c>
      <c r="M7" s="8">
        <v>179</v>
      </c>
      <c r="N7" s="8">
        <v>179</v>
      </c>
      <c r="O7" s="8">
        <v>7.41</v>
      </c>
    </row>
    <row r="8" spans="1:15" x14ac:dyDescent="0.25">
      <c r="A8" s="6" t="s">
        <v>6</v>
      </c>
      <c r="B8" s="6" t="s">
        <v>2</v>
      </c>
      <c r="C8" s="8">
        <v>2.17</v>
      </c>
      <c r="D8" s="8">
        <v>2.17</v>
      </c>
      <c r="E8" s="8">
        <v>1.07</v>
      </c>
      <c r="F8" s="8">
        <v>1.07</v>
      </c>
      <c r="G8" s="8">
        <v>1.1299999999999999</v>
      </c>
      <c r="H8" s="8">
        <v>1.1299999999999999</v>
      </c>
      <c r="I8" s="8">
        <v>1.01</v>
      </c>
      <c r="J8" s="8">
        <v>1.01</v>
      </c>
      <c r="K8" s="8">
        <v>1</v>
      </c>
      <c r="L8" s="8">
        <v>1</v>
      </c>
      <c r="M8" s="8">
        <v>2.0699999999999998</v>
      </c>
      <c r="N8" s="8">
        <v>2.0699999999999998</v>
      </c>
      <c r="O8" s="8">
        <v>1</v>
      </c>
    </row>
    <row r="9" spans="1:15" x14ac:dyDescent="0.25">
      <c r="A9" s="6" t="s">
        <v>7</v>
      </c>
      <c r="B9" s="6" t="s">
        <v>8</v>
      </c>
      <c r="C9" s="8">
        <v>19.8</v>
      </c>
      <c r="D9" s="8">
        <v>24.4</v>
      </c>
      <c r="E9" s="8">
        <v>12.8</v>
      </c>
      <c r="F9" s="8">
        <v>0</v>
      </c>
      <c r="G9" s="8">
        <v>13.8</v>
      </c>
      <c r="H9" s="8">
        <v>12.77</v>
      </c>
      <c r="I9" s="8">
        <v>11.8</v>
      </c>
      <c r="J9" s="8">
        <v>11.4</v>
      </c>
      <c r="K9" s="8">
        <v>2.9</v>
      </c>
      <c r="L9" s="8">
        <v>2.1</v>
      </c>
      <c r="M9" s="8">
        <v>29.5</v>
      </c>
      <c r="N9" s="8">
        <v>13.4</v>
      </c>
      <c r="O9" s="8">
        <v>1.6</v>
      </c>
    </row>
    <row r="10" spans="1:15" x14ac:dyDescent="0.25">
      <c r="A10" s="12" t="s">
        <v>9</v>
      </c>
      <c r="B10" s="6"/>
      <c r="C10" s="8"/>
      <c r="D10" s="8"/>
      <c r="E10" s="8"/>
      <c r="F10" s="8"/>
      <c r="G10" s="8"/>
      <c r="H10" s="8"/>
      <c r="I10" s="8"/>
      <c r="J10" s="8"/>
      <c r="K10" s="8"/>
      <c r="L10" s="8"/>
      <c r="M10" s="8"/>
      <c r="N10" s="8"/>
      <c r="O10" s="8"/>
    </row>
    <row r="11" spans="1:15" x14ac:dyDescent="0.25">
      <c r="A11" s="6" t="s">
        <v>7</v>
      </c>
      <c r="B11" s="6" t="s">
        <v>8</v>
      </c>
      <c r="C11" s="8">
        <v>85.8</v>
      </c>
      <c r="D11" s="8">
        <v>88.5</v>
      </c>
      <c r="E11" s="8">
        <v>85.1</v>
      </c>
      <c r="F11" s="8">
        <v>0</v>
      </c>
      <c r="G11" s="8">
        <v>46.3</v>
      </c>
      <c r="H11" s="8">
        <v>46.3</v>
      </c>
      <c r="I11" s="8">
        <v>41.2</v>
      </c>
      <c r="J11" s="8">
        <v>41.2</v>
      </c>
      <c r="K11" s="8">
        <v>11.9</v>
      </c>
      <c r="L11" s="8">
        <v>11.9</v>
      </c>
      <c r="M11" s="8">
        <v>0</v>
      </c>
      <c r="N11" s="117">
        <v>122</v>
      </c>
      <c r="O11" s="8">
        <v>0</v>
      </c>
    </row>
    <row r="12" spans="1:15" x14ac:dyDescent="0.25">
      <c r="A12" s="6" t="s">
        <v>10</v>
      </c>
      <c r="B12" s="6" t="s">
        <v>2</v>
      </c>
      <c r="C12" s="8">
        <v>0</v>
      </c>
      <c r="D12" s="8">
        <v>0</v>
      </c>
      <c r="E12" s="8">
        <v>0</v>
      </c>
      <c r="F12" s="8">
        <v>1.1000000000000001</v>
      </c>
      <c r="G12" s="8">
        <v>0</v>
      </c>
      <c r="H12" s="8">
        <v>0</v>
      </c>
      <c r="I12" s="8">
        <v>0</v>
      </c>
      <c r="J12" s="8">
        <v>0</v>
      </c>
      <c r="K12" s="8">
        <v>0</v>
      </c>
      <c r="L12" s="8">
        <v>0</v>
      </c>
      <c r="M12" s="117">
        <v>0.7142857142857143</v>
      </c>
      <c r="N12" s="117">
        <v>1.8921428571428569</v>
      </c>
      <c r="O12" s="8">
        <v>0</v>
      </c>
    </row>
    <row r="13" spans="1:15" x14ac:dyDescent="0.25">
      <c r="A13" s="6" t="s">
        <v>11</v>
      </c>
      <c r="B13" s="6" t="s">
        <v>12</v>
      </c>
      <c r="C13" s="8">
        <v>0.4</v>
      </c>
      <c r="D13" s="8">
        <v>0</v>
      </c>
      <c r="E13" s="8">
        <v>0</v>
      </c>
      <c r="F13" s="8">
        <v>3.1</v>
      </c>
      <c r="G13" s="8">
        <v>0</v>
      </c>
      <c r="H13" s="8">
        <v>0</v>
      </c>
      <c r="I13" s="8">
        <v>0</v>
      </c>
      <c r="J13" s="8">
        <v>0</v>
      </c>
      <c r="K13" s="8">
        <v>0</v>
      </c>
      <c r="L13" s="8">
        <v>0</v>
      </c>
      <c r="M13" s="117">
        <v>7.0403571428571423</v>
      </c>
      <c r="N13" s="117">
        <v>8.8507142857142842</v>
      </c>
      <c r="O13" s="8">
        <v>0</v>
      </c>
    </row>
    <row r="14" spans="1:15" x14ac:dyDescent="0.25">
      <c r="A14" s="6" t="s">
        <v>13</v>
      </c>
      <c r="B14" s="6" t="s">
        <v>14</v>
      </c>
      <c r="C14" s="8">
        <v>0</v>
      </c>
      <c r="D14" s="8">
        <v>0</v>
      </c>
      <c r="E14" s="8">
        <v>1.9</v>
      </c>
      <c r="F14" s="8">
        <v>1.9</v>
      </c>
      <c r="G14" s="8">
        <v>0.1</v>
      </c>
      <c r="H14" s="8">
        <v>0</v>
      </c>
      <c r="I14" s="8">
        <v>0.1</v>
      </c>
      <c r="J14" s="8">
        <v>0</v>
      </c>
      <c r="K14" s="8">
        <v>1.7</v>
      </c>
      <c r="L14" s="8">
        <v>0</v>
      </c>
      <c r="M14" s="117">
        <v>2.8528571428571423</v>
      </c>
      <c r="N14" s="117">
        <v>2.8528571428571423</v>
      </c>
      <c r="O14" s="8">
        <v>0</v>
      </c>
    </row>
    <row r="15" spans="1:15" x14ac:dyDescent="0.25">
      <c r="A15" s="6" t="s">
        <v>15</v>
      </c>
      <c r="B15" s="6" t="s">
        <v>16</v>
      </c>
      <c r="C15" s="8">
        <v>1.8</v>
      </c>
      <c r="D15" s="8">
        <v>0</v>
      </c>
      <c r="E15" s="8">
        <v>0</v>
      </c>
      <c r="F15" s="8">
        <v>29.6</v>
      </c>
      <c r="G15" s="8">
        <v>0</v>
      </c>
      <c r="H15" s="8">
        <v>0</v>
      </c>
      <c r="I15" s="8">
        <v>0</v>
      </c>
      <c r="J15" s="8">
        <v>0</v>
      </c>
      <c r="K15" s="8">
        <v>0</v>
      </c>
      <c r="L15" s="8">
        <v>0</v>
      </c>
      <c r="M15" s="117">
        <v>31.085714285714282</v>
      </c>
      <c r="N15" s="117">
        <v>36.607142857142854</v>
      </c>
      <c r="O15" s="8">
        <v>0</v>
      </c>
    </row>
    <row r="16" spans="1:15" x14ac:dyDescent="0.25">
      <c r="A16" s="10" t="s">
        <v>17</v>
      </c>
      <c r="B16" s="6" t="s">
        <v>18</v>
      </c>
      <c r="C16" s="8">
        <v>15</v>
      </c>
      <c r="D16" s="8">
        <v>17.7</v>
      </c>
      <c r="E16" s="8">
        <v>0</v>
      </c>
      <c r="F16" s="8">
        <v>0</v>
      </c>
      <c r="G16" s="8">
        <v>0.01</v>
      </c>
      <c r="H16" s="8">
        <v>9.3000000000000007</v>
      </c>
      <c r="I16" s="8">
        <v>0.01</v>
      </c>
      <c r="J16" s="8">
        <v>8.3000000000000007</v>
      </c>
      <c r="K16" s="8">
        <v>0.02</v>
      </c>
      <c r="L16" s="8">
        <v>10.199999999999999</v>
      </c>
      <c r="M16" s="117">
        <v>0</v>
      </c>
      <c r="N16" s="117">
        <v>0</v>
      </c>
      <c r="O16" s="8">
        <v>1E-3</v>
      </c>
    </row>
    <row r="17" spans="1:15" x14ac:dyDescent="0.25">
      <c r="A17" s="114" t="s">
        <v>19</v>
      </c>
      <c r="B17" s="6"/>
      <c r="C17" s="8"/>
      <c r="D17" s="8"/>
      <c r="E17" s="8"/>
      <c r="F17" s="8"/>
      <c r="G17" s="8"/>
      <c r="H17" s="8"/>
      <c r="I17" s="8"/>
      <c r="J17" s="8"/>
      <c r="K17" s="8"/>
      <c r="L17" s="8"/>
      <c r="M17" s="117"/>
      <c r="N17" s="117"/>
      <c r="O17" s="8"/>
    </row>
    <row r="18" spans="1:15" x14ac:dyDescent="0.25">
      <c r="A18" s="6" t="s">
        <v>7</v>
      </c>
      <c r="B18" s="6" t="s">
        <v>8</v>
      </c>
      <c r="C18" s="8">
        <v>85.8</v>
      </c>
      <c r="D18" s="8">
        <v>88.5</v>
      </c>
      <c r="E18" s="8">
        <v>85.1</v>
      </c>
      <c r="F18" s="8">
        <v>0</v>
      </c>
      <c r="G18" s="8">
        <v>46.3</v>
      </c>
      <c r="H18" s="8">
        <v>46.3</v>
      </c>
      <c r="I18" s="8">
        <v>41.2</v>
      </c>
      <c r="J18" s="8">
        <v>41.2</v>
      </c>
      <c r="K18" s="8">
        <v>11.9</v>
      </c>
      <c r="L18" s="8">
        <v>11.9</v>
      </c>
      <c r="M18" s="8">
        <v>0</v>
      </c>
      <c r="N18" s="117">
        <v>122</v>
      </c>
      <c r="O18" s="8">
        <v>0</v>
      </c>
    </row>
    <row r="19" spans="1:15" x14ac:dyDescent="0.25">
      <c r="A19" s="6" t="s">
        <v>20</v>
      </c>
      <c r="B19" s="6" t="s">
        <v>2</v>
      </c>
      <c r="C19" s="8">
        <v>0</v>
      </c>
      <c r="D19" s="8">
        <v>0</v>
      </c>
      <c r="E19" s="8">
        <v>0</v>
      </c>
      <c r="F19" s="8">
        <v>0.3</v>
      </c>
      <c r="G19" s="8">
        <v>0</v>
      </c>
      <c r="H19" s="8">
        <v>0</v>
      </c>
      <c r="I19" s="8">
        <v>0</v>
      </c>
      <c r="J19" s="8">
        <v>0</v>
      </c>
      <c r="K19" s="8">
        <v>0</v>
      </c>
      <c r="L19" s="8">
        <v>0</v>
      </c>
      <c r="M19" s="117">
        <v>0.63235121653042214</v>
      </c>
      <c r="N19" s="117">
        <v>0.81312609215681397</v>
      </c>
      <c r="O19" s="8">
        <v>0</v>
      </c>
    </row>
    <row r="20" spans="1:15" x14ac:dyDescent="0.25">
      <c r="A20" s="6" t="s">
        <v>21</v>
      </c>
      <c r="B20" s="6" t="s">
        <v>12</v>
      </c>
      <c r="C20" s="8">
        <v>0.4</v>
      </c>
      <c r="D20" s="8">
        <v>0</v>
      </c>
      <c r="E20" s="8">
        <v>0</v>
      </c>
      <c r="F20" s="8">
        <v>2.5</v>
      </c>
      <c r="G20" s="8">
        <v>0</v>
      </c>
      <c r="H20" s="8">
        <v>0</v>
      </c>
      <c r="I20" s="8">
        <v>0</v>
      </c>
      <c r="J20" s="8">
        <v>0</v>
      </c>
      <c r="K20" s="8">
        <v>0</v>
      </c>
      <c r="L20" s="8">
        <v>0</v>
      </c>
      <c r="M20" s="117">
        <v>5.8717357142857134</v>
      </c>
      <c r="N20" s="117">
        <v>8.2621417857142845</v>
      </c>
      <c r="O20" s="8">
        <v>0</v>
      </c>
    </row>
    <row r="21" spans="1:15" x14ac:dyDescent="0.25">
      <c r="A21" s="6" t="s">
        <v>22</v>
      </c>
      <c r="B21" s="6" t="s">
        <v>14</v>
      </c>
      <c r="C21" s="8">
        <v>0</v>
      </c>
      <c r="D21" s="8">
        <v>0</v>
      </c>
      <c r="E21" s="8">
        <v>1.9</v>
      </c>
      <c r="F21" s="8">
        <v>1.3</v>
      </c>
      <c r="G21" s="8">
        <v>0.1</v>
      </c>
      <c r="H21" s="8">
        <v>0</v>
      </c>
      <c r="I21" s="8">
        <v>0.1</v>
      </c>
      <c r="J21" s="8">
        <v>0</v>
      </c>
      <c r="K21" s="8">
        <v>1.3</v>
      </c>
      <c r="L21" s="8">
        <v>0</v>
      </c>
      <c r="M21" s="117">
        <v>2.5190325107224361</v>
      </c>
      <c r="N21" s="117">
        <v>2.6601928571428566</v>
      </c>
      <c r="O21" s="8">
        <v>0</v>
      </c>
    </row>
  </sheetData>
  <mergeCells count="6">
    <mergeCell ref="M1:N1"/>
    <mergeCell ref="C1:D1"/>
    <mergeCell ref="E1:F1"/>
    <mergeCell ref="G1:H1"/>
    <mergeCell ref="I1:J1"/>
    <mergeCell ref="K1:L1"/>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S49"/>
  <sheetViews>
    <sheetView workbookViewId="0">
      <selection activeCell="T11" sqref="T11"/>
    </sheetView>
  </sheetViews>
  <sheetFormatPr defaultRowHeight="15" x14ac:dyDescent="0.25"/>
  <cols>
    <col min="1" max="1" width="14.5703125" customWidth="1"/>
    <col min="2" max="2" width="5.5703125" bestFit="1" customWidth="1"/>
  </cols>
  <sheetData>
    <row r="1" spans="1:15" x14ac:dyDescent="0.25">
      <c r="A1" s="5"/>
      <c r="B1" s="6"/>
      <c r="C1" s="139" t="s">
        <v>973</v>
      </c>
      <c r="D1" s="139"/>
      <c r="E1" s="139" t="s">
        <v>974</v>
      </c>
      <c r="F1" s="139"/>
      <c r="G1" s="139" t="s">
        <v>975</v>
      </c>
      <c r="H1" s="139"/>
      <c r="I1" s="139" t="s">
        <v>976</v>
      </c>
      <c r="J1" s="139"/>
      <c r="K1" s="139" t="s">
        <v>977</v>
      </c>
      <c r="L1" s="139"/>
      <c r="M1" s="139" t="s">
        <v>978</v>
      </c>
      <c r="N1" s="139"/>
      <c r="O1" s="98" t="s">
        <v>979</v>
      </c>
    </row>
    <row r="2" spans="1:15" x14ac:dyDescent="0.25">
      <c r="A2" s="5"/>
      <c r="B2" s="6"/>
      <c r="C2" s="9" t="s">
        <v>980</v>
      </c>
      <c r="D2" s="9" t="s">
        <v>986</v>
      </c>
      <c r="E2" s="9" t="s">
        <v>981</v>
      </c>
      <c r="F2" s="9" t="s">
        <v>987</v>
      </c>
      <c r="G2" s="9" t="s">
        <v>982</v>
      </c>
      <c r="H2" s="9" t="s">
        <v>988</v>
      </c>
      <c r="I2" s="9" t="s">
        <v>983</v>
      </c>
      <c r="J2" s="9" t="s">
        <v>989</v>
      </c>
      <c r="K2" s="9" t="s">
        <v>984</v>
      </c>
      <c r="L2" s="9" t="s">
        <v>990</v>
      </c>
      <c r="M2" s="9" t="s">
        <v>985</v>
      </c>
      <c r="N2" s="9" t="s">
        <v>991</v>
      </c>
      <c r="O2" s="9"/>
    </row>
    <row r="3" spans="1:15" x14ac:dyDescent="0.25">
      <c r="A3" s="12" t="s">
        <v>0</v>
      </c>
      <c r="B3" s="6"/>
      <c r="C3" s="8"/>
      <c r="D3" s="8"/>
      <c r="E3" s="8"/>
      <c r="F3" s="8"/>
      <c r="G3" s="8"/>
      <c r="H3" s="8"/>
      <c r="I3" s="8"/>
      <c r="J3" s="8"/>
      <c r="K3" s="8"/>
      <c r="L3" s="8"/>
      <c r="M3" s="8"/>
      <c r="N3" s="8"/>
      <c r="O3" s="8"/>
    </row>
    <row r="4" spans="1:15" x14ac:dyDescent="0.25">
      <c r="A4" s="6" t="s">
        <v>1</v>
      </c>
      <c r="B4" s="6" t="s">
        <v>2</v>
      </c>
      <c r="C4" s="8">
        <v>1</v>
      </c>
      <c r="D4" s="8"/>
      <c r="E4" s="8">
        <v>1</v>
      </c>
      <c r="F4" s="8"/>
      <c r="G4" s="8">
        <v>1</v>
      </c>
      <c r="H4" s="8"/>
      <c r="I4" s="8">
        <v>1</v>
      </c>
      <c r="J4" s="8"/>
      <c r="K4" s="8">
        <v>1</v>
      </c>
      <c r="L4" s="8"/>
      <c r="M4" s="8">
        <v>1</v>
      </c>
      <c r="N4" s="8"/>
      <c r="O4" s="8">
        <v>1</v>
      </c>
    </row>
    <row r="5" spans="1:15" x14ac:dyDescent="0.25">
      <c r="A5" s="12" t="s">
        <v>3</v>
      </c>
      <c r="B5" s="6"/>
      <c r="C5" s="8"/>
      <c r="D5" s="8"/>
      <c r="E5" s="8"/>
      <c r="F5" s="8"/>
      <c r="G5" s="8"/>
      <c r="H5" s="8"/>
      <c r="I5" s="8"/>
      <c r="J5" s="8"/>
      <c r="K5" s="8"/>
      <c r="L5" s="8"/>
      <c r="M5" s="8"/>
      <c r="N5" s="8"/>
      <c r="O5" s="8"/>
    </row>
    <row r="6" spans="1:15" x14ac:dyDescent="0.25">
      <c r="A6" s="6" t="s">
        <v>24</v>
      </c>
      <c r="B6" s="6" t="s">
        <v>5</v>
      </c>
      <c r="C6" s="8">
        <v>1772</v>
      </c>
      <c r="D6" s="8">
        <v>1772</v>
      </c>
      <c r="E6" s="8">
        <v>139</v>
      </c>
      <c r="F6" s="8">
        <v>139</v>
      </c>
      <c r="G6" s="8">
        <v>926</v>
      </c>
      <c r="H6" s="8">
        <v>926</v>
      </c>
      <c r="I6" s="8">
        <v>824</v>
      </c>
      <c r="J6" s="8">
        <v>824</v>
      </c>
      <c r="K6" s="8">
        <v>31</v>
      </c>
      <c r="L6" s="8">
        <v>31</v>
      </c>
      <c r="M6" s="8">
        <v>3571</v>
      </c>
      <c r="N6" s="8">
        <v>3571</v>
      </c>
      <c r="O6" s="8">
        <v>7.41</v>
      </c>
    </row>
    <row r="7" spans="1:15" x14ac:dyDescent="0.25">
      <c r="A7" s="6" t="s">
        <v>4</v>
      </c>
      <c r="B7" s="6" t="s">
        <v>18</v>
      </c>
      <c r="C7" s="8">
        <v>89</v>
      </c>
      <c r="D7" s="8">
        <v>89</v>
      </c>
      <c r="E7" s="8">
        <v>67</v>
      </c>
      <c r="F7" s="8">
        <v>67</v>
      </c>
      <c r="G7" s="8">
        <v>46</v>
      </c>
      <c r="H7" s="8">
        <v>46</v>
      </c>
      <c r="I7" s="8">
        <v>41</v>
      </c>
      <c r="J7" s="8">
        <v>41</v>
      </c>
      <c r="K7" s="8">
        <v>30</v>
      </c>
      <c r="L7" s="8">
        <v>30</v>
      </c>
      <c r="M7" s="8">
        <v>179</v>
      </c>
      <c r="N7" s="8">
        <v>179</v>
      </c>
      <c r="O7" s="8">
        <v>7.41</v>
      </c>
    </row>
    <row r="8" spans="1:15" x14ac:dyDescent="0.25">
      <c r="A8" s="6" t="s">
        <v>6</v>
      </c>
      <c r="B8" s="6" t="s">
        <v>2</v>
      </c>
      <c r="C8" s="8">
        <v>2.17</v>
      </c>
      <c r="D8" s="8">
        <v>2.17</v>
      </c>
      <c r="E8" s="8">
        <v>1.07</v>
      </c>
      <c r="F8" s="8">
        <v>1.07</v>
      </c>
      <c r="G8" s="8">
        <v>1.1299999999999999</v>
      </c>
      <c r="H8" s="8">
        <v>1.1299999999999999</v>
      </c>
      <c r="I8" s="8">
        <v>1.01</v>
      </c>
      <c r="J8" s="8">
        <v>1.01</v>
      </c>
      <c r="K8" s="8">
        <v>1</v>
      </c>
      <c r="L8" s="8">
        <v>1</v>
      </c>
      <c r="M8" s="8">
        <v>2.0699999999999998</v>
      </c>
      <c r="N8" s="8">
        <v>2.0699999999999998</v>
      </c>
      <c r="O8" s="8">
        <v>1</v>
      </c>
    </row>
    <row r="9" spans="1:15" x14ac:dyDescent="0.25">
      <c r="A9" s="6" t="s">
        <v>7</v>
      </c>
      <c r="B9" s="6" t="s">
        <v>8</v>
      </c>
      <c r="C9" s="8">
        <v>9.5</v>
      </c>
      <c r="D9" s="8">
        <v>13.5</v>
      </c>
      <c r="E9" s="8">
        <v>12.8</v>
      </c>
      <c r="F9" s="8">
        <v>0</v>
      </c>
      <c r="G9" s="8">
        <v>13.8</v>
      </c>
      <c r="H9" s="8">
        <v>7.1</v>
      </c>
      <c r="I9" s="8">
        <v>11.8</v>
      </c>
      <c r="J9" s="8">
        <v>6.3</v>
      </c>
      <c r="K9" s="8">
        <v>2.9</v>
      </c>
      <c r="L9" s="8">
        <v>0</v>
      </c>
      <c r="M9" s="8">
        <v>29.5</v>
      </c>
      <c r="N9" s="8">
        <v>13.4</v>
      </c>
      <c r="O9" s="8">
        <v>1.6</v>
      </c>
    </row>
    <row r="10" spans="1:15" x14ac:dyDescent="0.25">
      <c r="A10" s="12" t="s">
        <v>9</v>
      </c>
      <c r="B10" s="6"/>
      <c r="C10" s="8"/>
      <c r="D10" s="8"/>
      <c r="E10" s="8"/>
      <c r="F10" s="8"/>
      <c r="G10" s="8"/>
      <c r="H10" s="8"/>
      <c r="I10" s="8"/>
      <c r="J10" s="8"/>
      <c r="K10" s="8"/>
      <c r="L10" s="8"/>
      <c r="M10" s="8"/>
      <c r="N10" s="8"/>
      <c r="O10" s="8"/>
    </row>
    <row r="11" spans="1:15" x14ac:dyDescent="0.25">
      <c r="A11" s="6" t="s">
        <v>7</v>
      </c>
      <c r="B11" s="6" t="s">
        <v>8</v>
      </c>
      <c r="C11" s="8">
        <v>73.400000000000006</v>
      </c>
      <c r="D11" s="8">
        <v>77.3</v>
      </c>
      <c r="E11" s="8">
        <v>85.1</v>
      </c>
      <c r="F11" s="8">
        <v>6.9</v>
      </c>
      <c r="G11" s="8">
        <v>46.3</v>
      </c>
      <c r="H11" s="8">
        <v>40.4</v>
      </c>
      <c r="I11" s="8">
        <v>41.2</v>
      </c>
      <c r="J11" s="8">
        <v>35.9</v>
      </c>
      <c r="K11" s="8">
        <v>0</v>
      </c>
      <c r="L11" s="8">
        <v>0</v>
      </c>
      <c r="M11" s="8">
        <v>0</v>
      </c>
      <c r="N11" s="117">
        <v>122.02976190476188</v>
      </c>
      <c r="O11" s="8">
        <v>0</v>
      </c>
    </row>
    <row r="12" spans="1:15" x14ac:dyDescent="0.25">
      <c r="A12" s="6" t="s">
        <v>10</v>
      </c>
      <c r="B12" s="6" t="s">
        <v>2</v>
      </c>
      <c r="C12" s="8">
        <v>1.2</v>
      </c>
      <c r="D12" s="8">
        <v>2.2000000000000002</v>
      </c>
      <c r="E12" s="8">
        <v>0</v>
      </c>
      <c r="F12" s="8">
        <v>1.1000000000000001</v>
      </c>
      <c r="G12" s="8">
        <v>0</v>
      </c>
      <c r="H12" s="8">
        <v>1.1000000000000001</v>
      </c>
      <c r="I12" s="8">
        <v>0</v>
      </c>
      <c r="J12" s="8">
        <v>1</v>
      </c>
      <c r="K12" s="8">
        <v>0</v>
      </c>
      <c r="L12" s="8">
        <v>1</v>
      </c>
      <c r="M12" s="117">
        <v>0.7142857142857143</v>
      </c>
      <c r="N12" s="117">
        <v>1.8921428571428569</v>
      </c>
      <c r="O12" s="8">
        <v>0</v>
      </c>
    </row>
    <row r="13" spans="1:15" x14ac:dyDescent="0.25">
      <c r="A13" s="6" t="s">
        <v>11</v>
      </c>
      <c r="B13" s="6" t="s">
        <v>12</v>
      </c>
      <c r="C13" s="8">
        <v>3.9</v>
      </c>
      <c r="D13" s="8">
        <v>3.9</v>
      </c>
      <c r="E13" s="8">
        <v>0</v>
      </c>
      <c r="F13" s="8">
        <v>3.1</v>
      </c>
      <c r="G13" s="8">
        <v>0</v>
      </c>
      <c r="H13" s="8">
        <v>2</v>
      </c>
      <c r="I13" s="8">
        <v>0</v>
      </c>
      <c r="J13" s="8">
        <v>1.8</v>
      </c>
      <c r="K13" s="8">
        <v>0</v>
      </c>
      <c r="L13" s="8">
        <v>2.8</v>
      </c>
      <c r="M13" s="117">
        <v>7.0403571428571423</v>
      </c>
      <c r="N13" s="117">
        <v>8.8507142857142842</v>
      </c>
      <c r="O13" s="8">
        <v>0</v>
      </c>
    </row>
    <row r="14" spans="1:15" x14ac:dyDescent="0.25">
      <c r="A14" s="6" t="s">
        <v>13</v>
      </c>
      <c r="B14" s="6" t="s">
        <v>14</v>
      </c>
      <c r="C14" s="8">
        <v>0.2</v>
      </c>
      <c r="D14" s="8">
        <v>0.2</v>
      </c>
      <c r="E14" s="8">
        <v>1.9</v>
      </c>
      <c r="F14" s="8">
        <v>1.9</v>
      </c>
      <c r="G14" s="8">
        <v>0.1</v>
      </c>
      <c r="H14" s="8">
        <v>0.1</v>
      </c>
      <c r="I14" s="8">
        <v>0.1</v>
      </c>
      <c r="J14" s="8">
        <v>0.1</v>
      </c>
      <c r="K14" s="8">
        <v>1.7</v>
      </c>
      <c r="L14" s="8">
        <v>1.7</v>
      </c>
      <c r="M14" s="117">
        <v>2.8528571428571423</v>
      </c>
      <c r="N14" s="117">
        <v>2.8528571428571423</v>
      </c>
      <c r="O14" s="8">
        <v>0</v>
      </c>
    </row>
    <row r="15" spans="1:15" x14ac:dyDescent="0.25">
      <c r="A15" s="6" t="s">
        <v>15</v>
      </c>
      <c r="B15" s="6" t="s">
        <v>16</v>
      </c>
      <c r="C15" s="8">
        <v>15.6</v>
      </c>
      <c r="D15" s="8">
        <v>14.5</v>
      </c>
      <c r="E15" s="8">
        <v>0</v>
      </c>
      <c r="F15" s="8">
        <v>29.6</v>
      </c>
      <c r="G15" s="8">
        <v>0</v>
      </c>
      <c r="H15" s="8">
        <v>7.6</v>
      </c>
      <c r="I15" s="8">
        <v>0</v>
      </c>
      <c r="J15" s="8">
        <v>6.8</v>
      </c>
      <c r="K15" s="8">
        <v>0</v>
      </c>
      <c r="L15" s="8">
        <v>11.8</v>
      </c>
      <c r="M15" s="117">
        <v>31.085714285714282</v>
      </c>
      <c r="N15" s="117">
        <v>36.607142857142854</v>
      </c>
      <c r="O15" s="8">
        <v>0</v>
      </c>
    </row>
    <row r="16" spans="1:15" x14ac:dyDescent="0.25">
      <c r="A16" s="10" t="s">
        <v>17</v>
      </c>
      <c r="B16" s="6" t="s">
        <v>18</v>
      </c>
      <c r="C16" s="8">
        <v>0</v>
      </c>
      <c r="D16" s="8">
        <v>0</v>
      </c>
      <c r="E16" s="8">
        <v>0</v>
      </c>
      <c r="F16" s="8">
        <v>0</v>
      </c>
      <c r="G16" s="8">
        <v>0.01</v>
      </c>
      <c r="H16" s="8">
        <v>0</v>
      </c>
      <c r="I16" s="8">
        <v>0.01</v>
      </c>
      <c r="J16" s="8">
        <v>0</v>
      </c>
      <c r="K16" s="8">
        <v>0.02</v>
      </c>
      <c r="L16" s="8">
        <v>0</v>
      </c>
      <c r="M16" s="117">
        <v>0</v>
      </c>
      <c r="N16" s="117">
        <v>0</v>
      </c>
      <c r="O16" s="8">
        <v>1E-3</v>
      </c>
    </row>
    <row r="17" spans="1:45" x14ac:dyDescent="0.25">
      <c r="A17" s="12" t="s">
        <v>19</v>
      </c>
      <c r="B17" s="6"/>
      <c r="C17" s="8"/>
      <c r="D17" s="8"/>
      <c r="E17" s="8"/>
      <c r="F17" s="8"/>
      <c r="G17" s="8"/>
      <c r="H17" s="8"/>
      <c r="I17" s="8"/>
      <c r="J17" s="8"/>
      <c r="K17" s="8"/>
      <c r="L17" s="8"/>
      <c r="M17" s="117"/>
      <c r="N17" s="117"/>
      <c r="O17" s="8"/>
    </row>
    <row r="18" spans="1:45" x14ac:dyDescent="0.25">
      <c r="A18" s="6" t="s">
        <v>7</v>
      </c>
      <c r="B18" s="6" t="s">
        <v>8</v>
      </c>
      <c r="C18" s="8">
        <v>73.400000000000006</v>
      </c>
      <c r="D18" s="8">
        <v>77.3</v>
      </c>
      <c r="E18" s="8">
        <v>85.1</v>
      </c>
      <c r="F18" s="8">
        <v>0</v>
      </c>
      <c r="G18" s="8">
        <v>46.3</v>
      </c>
      <c r="H18" s="8">
        <v>40.4</v>
      </c>
      <c r="I18" s="8">
        <v>41.2</v>
      </c>
      <c r="J18" s="8">
        <v>35.9</v>
      </c>
      <c r="K18" s="8">
        <v>0</v>
      </c>
      <c r="L18" s="8">
        <v>0</v>
      </c>
      <c r="M18" s="8">
        <v>0</v>
      </c>
      <c r="N18" s="117">
        <v>122.02976190476188</v>
      </c>
      <c r="O18" s="8">
        <v>0</v>
      </c>
    </row>
    <row r="19" spans="1:45" x14ac:dyDescent="0.25">
      <c r="A19" s="6" t="s">
        <v>20</v>
      </c>
      <c r="B19" s="6" t="s">
        <v>2</v>
      </c>
      <c r="C19" s="8">
        <v>0.5</v>
      </c>
      <c r="D19" s="8">
        <v>1</v>
      </c>
      <c r="E19" s="8">
        <v>0</v>
      </c>
      <c r="F19" s="8">
        <v>0.9</v>
      </c>
      <c r="G19" s="8">
        <v>0</v>
      </c>
      <c r="H19" s="8">
        <v>0.5</v>
      </c>
      <c r="I19" s="8">
        <v>0</v>
      </c>
      <c r="J19" s="8">
        <v>0.5</v>
      </c>
      <c r="K19" s="8">
        <v>0</v>
      </c>
      <c r="L19" s="8">
        <v>0.4</v>
      </c>
      <c r="M19" s="117">
        <v>0.7142857142857143</v>
      </c>
      <c r="N19" s="117">
        <v>1.3289202914154465</v>
      </c>
      <c r="O19" s="8">
        <v>0</v>
      </c>
      <c r="Q19" s="89"/>
      <c r="R19" s="89"/>
    </row>
    <row r="20" spans="1:45" x14ac:dyDescent="0.25">
      <c r="A20" s="6" t="s">
        <v>21</v>
      </c>
      <c r="B20" s="6" t="s">
        <v>12</v>
      </c>
      <c r="C20" s="8">
        <v>3.9</v>
      </c>
      <c r="D20" s="8">
        <v>3.9</v>
      </c>
      <c r="E20" s="8">
        <v>0</v>
      </c>
      <c r="F20" s="8">
        <v>3.1</v>
      </c>
      <c r="G20" s="8">
        <v>0</v>
      </c>
      <c r="H20" s="8">
        <v>2</v>
      </c>
      <c r="I20" s="8">
        <v>0</v>
      </c>
      <c r="J20" s="8">
        <v>1.8</v>
      </c>
      <c r="K20" s="8">
        <v>0</v>
      </c>
      <c r="L20" s="8">
        <v>2.8</v>
      </c>
      <c r="M20" s="117">
        <v>5.8717357142857134</v>
      </c>
      <c r="N20" s="117">
        <v>8.2621417857142845</v>
      </c>
      <c r="O20" s="8">
        <v>0</v>
      </c>
      <c r="Q20" s="89"/>
      <c r="R20" s="89"/>
    </row>
    <row r="21" spans="1:45" x14ac:dyDescent="0.25">
      <c r="A21" s="6" t="s">
        <v>22</v>
      </c>
      <c r="B21" s="6" t="s">
        <v>14</v>
      </c>
      <c r="C21" s="8">
        <v>0.2</v>
      </c>
      <c r="D21" s="8">
        <v>0.2</v>
      </c>
      <c r="E21" s="8">
        <v>1.9</v>
      </c>
      <c r="F21" s="8">
        <v>1.9</v>
      </c>
      <c r="G21" s="8">
        <v>0.1</v>
      </c>
      <c r="H21" s="8">
        <v>0.1</v>
      </c>
      <c r="I21" s="8">
        <v>0.1</v>
      </c>
      <c r="J21" s="8">
        <v>0.1</v>
      </c>
      <c r="K21" s="8">
        <v>1.7</v>
      </c>
      <c r="L21" s="8">
        <v>1.7</v>
      </c>
      <c r="M21" s="117">
        <v>2.6601928571428566</v>
      </c>
      <c r="N21" s="117">
        <v>2.6601928571428566</v>
      </c>
      <c r="O21" s="8">
        <v>0</v>
      </c>
      <c r="Q21" s="89"/>
      <c r="R21" s="89"/>
    </row>
    <row r="22" spans="1:45" x14ac:dyDescent="0.25">
      <c r="A22" s="1"/>
    </row>
    <row r="24" spans="1:45" x14ac:dyDescent="0.25">
      <c r="A24" s="119"/>
      <c r="B24" s="4"/>
      <c r="C24" s="4"/>
      <c r="D24" s="4"/>
      <c r="E24" s="4"/>
      <c r="F24" s="4"/>
      <c r="G24" s="4"/>
      <c r="H24" s="4"/>
      <c r="I24" s="4"/>
      <c r="J24" s="4"/>
      <c r="K24" s="4"/>
      <c r="L24" s="4"/>
      <c r="M24" s="4"/>
      <c r="N24" s="4"/>
      <c r="O24" s="4"/>
      <c r="P24" s="4"/>
      <c r="Q24" s="4"/>
      <c r="R24" s="4"/>
      <c r="S24" s="4"/>
      <c r="T24" s="4"/>
      <c r="U24" s="4"/>
      <c r="V24" s="4"/>
      <c r="W24" s="4"/>
      <c r="X24" s="119"/>
      <c r="Y24" s="4"/>
      <c r="Z24" s="4"/>
      <c r="AA24" s="4"/>
      <c r="AB24" s="4"/>
      <c r="AC24" s="4"/>
      <c r="AD24" s="4"/>
      <c r="AE24" s="4"/>
      <c r="AF24" s="4"/>
      <c r="AG24" s="4"/>
      <c r="AH24" s="4"/>
      <c r="AI24" s="4"/>
      <c r="AJ24" s="4"/>
      <c r="AK24" s="4"/>
      <c r="AL24" s="4"/>
      <c r="AM24" s="4"/>
      <c r="AN24" s="4"/>
      <c r="AO24" s="4"/>
      <c r="AP24" s="4"/>
      <c r="AQ24" s="4"/>
      <c r="AR24" s="4"/>
      <c r="AS24" s="4"/>
    </row>
    <row r="25" spans="1:45" x14ac:dyDescent="0.25">
      <c r="A25" s="118"/>
      <c r="B25" s="105"/>
      <c r="C25" s="105"/>
      <c r="D25" s="105"/>
      <c r="E25" s="105"/>
      <c r="F25" s="105"/>
      <c r="G25" s="105"/>
      <c r="H25" s="105"/>
      <c r="I25" s="105"/>
      <c r="J25" s="105"/>
      <c r="K25" s="105"/>
      <c r="L25" s="105"/>
      <c r="M25" s="105"/>
      <c r="N25" s="105"/>
      <c r="O25" s="105"/>
      <c r="P25" s="105"/>
      <c r="Q25" s="105"/>
      <c r="R25" s="105"/>
      <c r="S25" s="105"/>
      <c r="T25" s="105"/>
      <c r="U25" s="105"/>
      <c r="V25" s="105"/>
      <c r="W25" s="105"/>
      <c r="X25" s="118"/>
      <c r="Y25" s="105"/>
      <c r="Z25" s="105"/>
      <c r="AA25" s="105"/>
      <c r="AB25" s="105"/>
      <c r="AC25" s="105"/>
      <c r="AD25" s="105"/>
      <c r="AE25" s="105"/>
      <c r="AF25" s="105"/>
      <c r="AG25" s="105"/>
      <c r="AH25" s="105"/>
      <c r="AI25" s="105"/>
      <c r="AJ25" s="105"/>
      <c r="AK25" s="105"/>
      <c r="AL25" s="105"/>
      <c r="AM25" s="105"/>
      <c r="AN25" s="105"/>
      <c r="AO25" s="105"/>
      <c r="AP25" s="105"/>
      <c r="AQ25" s="105"/>
      <c r="AR25" s="105"/>
      <c r="AS25" s="4"/>
    </row>
    <row r="26" spans="1:45" x14ac:dyDescent="0.25">
      <c r="A26" s="119"/>
      <c r="B26" s="105"/>
      <c r="C26" s="105"/>
      <c r="D26" s="105"/>
      <c r="E26" s="105"/>
      <c r="F26" s="105"/>
      <c r="G26" s="105"/>
      <c r="H26" s="105"/>
      <c r="I26" s="105"/>
      <c r="J26" s="105"/>
      <c r="K26" s="105"/>
      <c r="L26" s="105"/>
      <c r="M26" s="105"/>
      <c r="N26" s="105"/>
      <c r="O26" s="105"/>
      <c r="P26" s="105"/>
      <c r="Q26" s="105"/>
      <c r="R26" s="105"/>
      <c r="S26" s="105"/>
      <c r="T26" s="105"/>
      <c r="U26" s="105"/>
      <c r="V26" s="105"/>
      <c r="W26" s="105"/>
      <c r="X26" s="118"/>
      <c r="Y26" s="105"/>
      <c r="Z26" s="105"/>
      <c r="AA26" s="105"/>
      <c r="AB26" s="105"/>
      <c r="AC26" s="105"/>
      <c r="AD26" s="105"/>
      <c r="AE26" s="105"/>
      <c r="AF26" s="105"/>
      <c r="AG26" s="105"/>
      <c r="AH26" s="105"/>
      <c r="AI26" s="105"/>
      <c r="AJ26" s="105"/>
      <c r="AK26" s="105"/>
      <c r="AL26" s="105"/>
      <c r="AM26" s="105"/>
      <c r="AN26" s="105"/>
      <c r="AO26" s="105"/>
      <c r="AP26" s="105"/>
      <c r="AQ26" s="105"/>
      <c r="AR26" s="105"/>
      <c r="AS26" s="4"/>
    </row>
    <row r="27" spans="1:45" x14ac:dyDescent="0.25">
      <c r="A27" s="4"/>
      <c r="B27" s="4"/>
      <c r="C27" s="120"/>
      <c r="D27" s="120"/>
      <c r="E27" s="120"/>
      <c r="F27" s="120"/>
      <c r="G27" s="120"/>
      <c r="H27" s="120"/>
      <c r="I27" s="120"/>
      <c r="J27" s="120"/>
      <c r="K27" s="120"/>
      <c r="L27" s="120"/>
      <c r="M27" s="120"/>
      <c r="N27" s="120"/>
      <c r="O27" s="120"/>
      <c r="P27" s="120"/>
      <c r="Q27" s="120"/>
      <c r="R27" s="120"/>
      <c r="S27" s="120"/>
      <c r="T27" s="120"/>
      <c r="U27" s="120"/>
      <c r="V27" s="4"/>
      <c r="W27" s="4"/>
      <c r="X27" s="4"/>
      <c r="Y27" s="4"/>
      <c r="Z27" s="120"/>
      <c r="AA27" s="120"/>
      <c r="AB27" s="120"/>
      <c r="AC27" s="120"/>
      <c r="AD27" s="120"/>
      <c r="AE27" s="120"/>
      <c r="AF27" s="120"/>
      <c r="AG27" s="120"/>
      <c r="AH27" s="120"/>
      <c r="AI27" s="120"/>
      <c r="AJ27" s="120"/>
      <c r="AK27" s="120"/>
      <c r="AL27" s="120"/>
      <c r="AM27" s="120"/>
      <c r="AN27" s="120"/>
      <c r="AO27" s="120"/>
      <c r="AP27" s="120"/>
      <c r="AQ27" s="120"/>
      <c r="AR27" s="120"/>
      <c r="AS27" s="4"/>
    </row>
    <row r="28" spans="1:45" x14ac:dyDescent="0.25">
      <c r="A28" s="119"/>
      <c r="B28" s="4"/>
      <c r="C28" s="4"/>
      <c r="D28" s="4"/>
      <c r="E28" s="4"/>
      <c r="F28" s="4"/>
      <c r="G28" s="4"/>
      <c r="H28" s="4"/>
      <c r="I28" s="4"/>
      <c r="J28" s="4"/>
      <c r="K28" s="4"/>
      <c r="L28" s="4"/>
      <c r="M28" s="4"/>
      <c r="N28" s="4"/>
      <c r="O28" s="4"/>
      <c r="P28" s="4"/>
      <c r="Q28" s="4"/>
      <c r="R28" s="4"/>
      <c r="S28" s="4"/>
      <c r="T28" s="4"/>
      <c r="U28" s="4"/>
      <c r="V28" s="4"/>
      <c r="W28" s="4"/>
      <c r="X28" s="119"/>
      <c r="Y28" s="4"/>
      <c r="Z28" s="4"/>
      <c r="AA28" s="4"/>
      <c r="AB28" s="4"/>
      <c r="AC28" s="4"/>
      <c r="AD28" s="4"/>
      <c r="AE28" s="4"/>
      <c r="AF28" s="4"/>
      <c r="AG28" s="4"/>
      <c r="AH28" s="4"/>
      <c r="AI28" s="4"/>
      <c r="AJ28" s="4"/>
      <c r="AK28" s="4"/>
      <c r="AL28" s="4"/>
      <c r="AM28" s="4"/>
      <c r="AN28" s="4"/>
      <c r="AO28" s="4"/>
      <c r="AP28" s="4"/>
      <c r="AQ28" s="4"/>
      <c r="AR28" s="4"/>
      <c r="AS28" s="4"/>
    </row>
    <row r="29" spans="1:45" x14ac:dyDescent="0.25">
      <c r="A29" s="4"/>
      <c r="B29" s="4"/>
      <c r="C29" s="121"/>
      <c r="D29" s="121"/>
      <c r="E29" s="121"/>
      <c r="F29" s="121"/>
      <c r="G29" s="121"/>
      <c r="H29" s="121"/>
      <c r="I29" s="121"/>
      <c r="J29" s="121"/>
      <c r="K29" s="121"/>
      <c r="L29" s="121"/>
      <c r="M29" s="121"/>
      <c r="N29" s="121"/>
      <c r="O29" s="121"/>
      <c r="P29" s="121"/>
      <c r="Q29" s="121"/>
      <c r="R29" s="121"/>
      <c r="S29" s="121"/>
      <c r="T29" s="121"/>
      <c r="U29" s="122"/>
      <c r="V29" s="4"/>
      <c r="W29" s="4"/>
      <c r="X29" s="4"/>
      <c r="Y29" s="4"/>
      <c r="Z29" s="121"/>
      <c r="AA29" s="121"/>
      <c r="AB29" s="121"/>
      <c r="AC29" s="121"/>
      <c r="AD29" s="121"/>
      <c r="AE29" s="121"/>
      <c r="AF29" s="121"/>
      <c r="AG29" s="121"/>
      <c r="AH29" s="121"/>
      <c r="AI29" s="121"/>
      <c r="AJ29" s="121"/>
      <c r="AK29" s="121"/>
      <c r="AL29" s="121"/>
      <c r="AM29" s="121"/>
      <c r="AN29" s="121"/>
      <c r="AO29" s="121"/>
      <c r="AP29" s="121"/>
      <c r="AQ29" s="121"/>
      <c r="AR29" s="122"/>
      <c r="AS29" s="4"/>
    </row>
    <row r="30" spans="1:45" x14ac:dyDescent="0.25">
      <c r="A30" s="4"/>
      <c r="B30" s="4"/>
      <c r="C30" s="122"/>
      <c r="D30" s="122"/>
      <c r="E30" s="122"/>
      <c r="F30" s="122"/>
      <c r="G30" s="122"/>
      <c r="H30" s="122"/>
      <c r="I30" s="122"/>
      <c r="J30" s="122"/>
      <c r="K30" s="122"/>
      <c r="L30" s="122"/>
      <c r="M30" s="122"/>
      <c r="N30" s="122"/>
      <c r="O30" s="122"/>
      <c r="P30" s="122"/>
      <c r="Q30" s="122"/>
      <c r="R30" s="122"/>
      <c r="S30" s="122"/>
      <c r="T30" s="122"/>
      <c r="U30" s="122"/>
      <c r="V30" s="4"/>
      <c r="W30" s="4"/>
      <c r="X30" s="4"/>
      <c r="Y30" s="4"/>
      <c r="Z30" s="122"/>
      <c r="AA30" s="122"/>
      <c r="AB30" s="122"/>
      <c r="AC30" s="122"/>
      <c r="AD30" s="122"/>
      <c r="AE30" s="122"/>
      <c r="AF30" s="122"/>
      <c r="AG30" s="122"/>
      <c r="AH30" s="122"/>
      <c r="AI30" s="122"/>
      <c r="AJ30" s="122"/>
      <c r="AK30" s="122"/>
      <c r="AL30" s="122"/>
      <c r="AM30" s="122"/>
      <c r="AN30" s="122"/>
      <c r="AO30" s="122"/>
      <c r="AP30" s="122"/>
      <c r="AQ30" s="122"/>
      <c r="AR30" s="122"/>
      <c r="AS30" s="4"/>
    </row>
    <row r="31" spans="1:45" x14ac:dyDescent="0.25">
      <c r="A31" s="4"/>
      <c r="B31" s="4"/>
      <c r="C31" s="122"/>
      <c r="D31" s="122"/>
      <c r="E31" s="122"/>
      <c r="F31" s="122"/>
      <c r="G31" s="122"/>
      <c r="H31" s="122"/>
      <c r="I31" s="122"/>
      <c r="J31" s="122"/>
      <c r="K31" s="122"/>
      <c r="L31" s="122"/>
      <c r="M31" s="122"/>
      <c r="N31" s="122"/>
      <c r="O31" s="122"/>
      <c r="P31" s="122"/>
      <c r="Q31" s="122"/>
      <c r="R31" s="122"/>
      <c r="S31" s="122"/>
      <c r="T31" s="122"/>
      <c r="U31" s="122"/>
      <c r="V31" s="4"/>
      <c r="W31" s="4"/>
      <c r="X31" s="4"/>
      <c r="Y31" s="4"/>
      <c r="Z31" s="122"/>
      <c r="AA31" s="122"/>
      <c r="AB31" s="122"/>
      <c r="AC31" s="122"/>
      <c r="AD31" s="122"/>
      <c r="AE31" s="122"/>
      <c r="AF31" s="122"/>
      <c r="AG31" s="122"/>
      <c r="AH31" s="122"/>
      <c r="AI31" s="122"/>
      <c r="AJ31" s="122"/>
      <c r="AK31" s="122"/>
      <c r="AL31" s="122"/>
      <c r="AM31" s="122"/>
      <c r="AN31" s="122"/>
      <c r="AO31" s="122"/>
      <c r="AP31" s="122"/>
      <c r="AQ31" s="122"/>
      <c r="AR31" s="122"/>
      <c r="AS31" s="4"/>
    </row>
    <row r="32" spans="1:45" x14ac:dyDescent="0.25">
      <c r="A32" s="4"/>
      <c r="B32" s="4"/>
      <c r="C32" s="122"/>
      <c r="D32" s="122"/>
      <c r="E32" s="122"/>
      <c r="F32" s="122"/>
      <c r="G32" s="122"/>
      <c r="H32" s="122"/>
      <c r="I32" s="122"/>
      <c r="J32" s="122"/>
      <c r="K32" s="122"/>
      <c r="L32" s="122"/>
      <c r="M32" s="122"/>
      <c r="N32" s="122"/>
      <c r="O32" s="122"/>
      <c r="P32" s="122"/>
      <c r="Q32" s="122"/>
      <c r="R32" s="122"/>
      <c r="S32" s="122"/>
      <c r="T32" s="122"/>
      <c r="U32" s="122"/>
      <c r="V32" s="4"/>
      <c r="W32" s="4"/>
      <c r="X32" s="4"/>
      <c r="Y32" s="4"/>
      <c r="Z32" s="122"/>
      <c r="AA32" s="122"/>
      <c r="AB32" s="122"/>
      <c r="AC32" s="122"/>
      <c r="AD32" s="122"/>
      <c r="AE32" s="122"/>
      <c r="AF32" s="122"/>
      <c r="AG32" s="122"/>
      <c r="AH32" s="122"/>
      <c r="AI32" s="122"/>
      <c r="AJ32" s="122"/>
      <c r="AK32" s="122"/>
      <c r="AL32" s="122"/>
      <c r="AM32" s="122"/>
      <c r="AN32" s="122"/>
      <c r="AO32" s="122"/>
      <c r="AP32" s="122"/>
      <c r="AQ32" s="122"/>
      <c r="AR32" s="122"/>
      <c r="AS32" s="4"/>
    </row>
    <row r="33" spans="1:45" x14ac:dyDescent="0.25">
      <c r="A33" s="119"/>
      <c r="B33" s="4"/>
      <c r="C33" s="120"/>
      <c r="D33" s="120"/>
      <c r="E33" s="120"/>
      <c r="F33" s="120"/>
      <c r="G33" s="120"/>
      <c r="H33" s="120"/>
      <c r="I33" s="120"/>
      <c r="J33" s="120"/>
      <c r="K33" s="120"/>
      <c r="L33" s="120"/>
      <c r="M33" s="120"/>
      <c r="N33" s="120"/>
      <c r="O33" s="120"/>
      <c r="P33" s="120"/>
      <c r="Q33" s="120"/>
      <c r="R33" s="120"/>
      <c r="S33" s="120"/>
      <c r="T33" s="120"/>
      <c r="U33" s="120"/>
      <c r="V33" s="4"/>
      <c r="W33" s="4"/>
      <c r="X33" s="119"/>
      <c r="Y33" s="4"/>
      <c r="Z33" s="120"/>
      <c r="AA33" s="120"/>
      <c r="AB33" s="120"/>
      <c r="AC33" s="120"/>
      <c r="AD33" s="120"/>
      <c r="AE33" s="120"/>
      <c r="AF33" s="120"/>
      <c r="AG33" s="120"/>
      <c r="AH33" s="120"/>
      <c r="AI33" s="120"/>
      <c r="AJ33" s="120"/>
      <c r="AK33" s="120"/>
      <c r="AL33" s="120"/>
      <c r="AM33" s="120"/>
      <c r="AN33" s="120"/>
      <c r="AO33" s="120"/>
      <c r="AP33" s="120"/>
      <c r="AQ33" s="120"/>
      <c r="AR33" s="120"/>
      <c r="AS33" s="4"/>
    </row>
    <row r="34" spans="1:45" x14ac:dyDescent="0.25">
      <c r="A34" s="4"/>
      <c r="B34" s="4"/>
      <c r="C34" s="120"/>
      <c r="D34" s="120"/>
      <c r="E34" s="120"/>
      <c r="F34" s="120"/>
      <c r="G34" s="120"/>
      <c r="H34" s="120"/>
      <c r="I34" s="120"/>
      <c r="J34" s="120"/>
      <c r="K34" s="120"/>
      <c r="L34" s="120"/>
      <c r="M34" s="120"/>
      <c r="N34" s="120"/>
      <c r="O34" s="120"/>
      <c r="P34" s="120"/>
      <c r="Q34" s="120"/>
      <c r="R34" s="120"/>
      <c r="S34" s="120"/>
      <c r="T34" s="120"/>
      <c r="U34" s="120"/>
      <c r="V34" s="4"/>
      <c r="W34" s="4"/>
      <c r="X34" s="4"/>
      <c r="Y34" s="4"/>
      <c r="Z34" s="120"/>
      <c r="AA34" s="120"/>
      <c r="AB34" s="120"/>
      <c r="AC34" s="120"/>
      <c r="AD34" s="120"/>
      <c r="AE34" s="120"/>
      <c r="AF34" s="120"/>
      <c r="AG34" s="120"/>
      <c r="AH34" s="120"/>
      <c r="AI34" s="120"/>
      <c r="AJ34" s="120"/>
      <c r="AK34" s="120"/>
      <c r="AL34" s="120"/>
      <c r="AM34" s="120"/>
      <c r="AN34" s="120"/>
      <c r="AO34" s="120"/>
      <c r="AP34" s="120"/>
      <c r="AQ34" s="120"/>
      <c r="AR34" s="120"/>
      <c r="AS34" s="4"/>
    </row>
    <row r="35" spans="1:45" x14ac:dyDescent="0.25">
      <c r="A35" s="4"/>
      <c r="B35" s="4"/>
      <c r="C35" s="120"/>
      <c r="D35" s="120"/>
      <c r="E35" s="120"/>
      <c r="F35" s="120"/>
      <c r="G35" s="120"/>
      <c r="H35" s="120"/>
      <c r="I35" s="120"/>
      <c r="J35" s="120"/>
      <c r="K35" s="120"/>
      <c r="L35" s="120"/>
      <c r="M35" s="120"/>
      <c r="N35" s="120"/>
      <c r="O35" s="120"/>
      <c r="P35" s="120"/>
      <c r="Q35" s="120"/>
      <c r="R35" s="120"/>
      <c r="S35" s="120"/>
      <c r="T35" s="120"/>
      <c r="U35" s="120"/>
      <c r="V35" s="4"/>
      <c r="W35" s="4"/>
      <c r="X35" s="4"/>
      <c r="Y35" s="4"/>
      <c r="Z35" s="120"/>
      <c r="AA35" s="120"/>
      <c r="AB35" s="120"/>
      <c r="AC35" s="120"/>
      <c r="AD35" s="120"/>
      <c r="AE35" s="120"/>
      <c r="AF35" s="120"/>
      <c r="AG35" s="120"/>
      <c r="AH35" s="120"/>
      <c r="AI35" s="120"/>
      <c r="AJ35" s="120"/>
      <c r="AK35" s="120"/>
      <c r="AL35" s="120"/>
      <c r="AM35" s="120"/>
      <c r="AN35" s="120"/>
      <c r="AO35" s="120"/>
      <c r="AP35" s="120"/>
      <c r="AQ35" s="120"/>
      <c r="AR35" s="120"/>
      <c r="AS35" s="4"/>
    </row>
    <row r="36" spans="1:45" x14ac:dyDescent="0.25">
      <c r="A36" s="4"/>
      <c r="B36" s="4"/>
      <c r="C36" s="120"/>
      <c r="D36" s="120"/>
      <c r="E36" s="120"/>
      <c r="F36" s="120"/>
      <c r="G36" s="120"/>
      <c r="H36" s="120"/>
      <c r="I36" s="120"/>
      <c r="J36" s="120"/>
      <c r="K36" s="120"/>
      <c r="L36" s="120"/>
      <c r="M36" s="120"/>
      <c r="N36" s="120"/>
      <c r="O36" s="120"/>
      <c r="P36" s="120"/>
      <c r="Q36" s="120"/>
      <c r="R36" s="120"/>
      <c r="S36" s="120"/>
      <c r="T36" s="120"/>
      <c r="U36" s="120"/>
      <c r="V36" s="4"/>
      <c r="W36" s="4"/>
      <c r="X36" s="4"/>
      <c r="Y36" s="4"/>
      <c r="Z36" s="120"/>
      <c r="AA36" s="120"/>
      <c r="AB36" s="120"/>
      <c r="AC36" s="120"/>
      <c r="AD36" s="120"/>
      <c r="AE36" s="120"/>
      <c r="AF36" s="120"/>
      <c r="AG36" s="120"/>
      <c r="AH36" s="120"/>
      <c r="AI36" s="120"/>
      <c r="AJ36" s="120"/>
      <c r="AK36" s="120"/>
      <c r="AL36" s="120"/>
      <c r="AM36" s="120"/>
      <c r="AN36" s="120"/>
      <c r="AO36" s="120"/>
      <c r="AP36" s="120"/>
      <c r="AQ36" s="120"/>
      <c r="AR36" s="120"/>
      <c r="AS36" s="4"/>
    </row>
    <row r="37" spans="1:45" x14ac:dyDescent="0.25">
      <c r="A37" s="4"/>
      <c r="B37" s="4"/>
      <c r="C37" s="120"/>
      <c r="D37" s="120"/>
      <c r="E37" s="120"/>
      <c r="F37" s="120"/>
      <c r="G37" s="120"/>
      <c r="H37" s="120"/>
      <c r="I37" s="120"/>
      <c r="J37" s="120"/>
      <c r="K37" s="120"/>
      <c r="L37" s="120"/>
      <c r="M37" s="120"/>
      <c r="N37" s="120"/>
      <c r="O37" s="120"/>
      <c r="P37" s="120"/>
      <c r="Q37" s="120"/>
      <c r="R37" s="120"/>
      <c r="S37" s="120"/>
      <c r="T37" s="120"/>
      <c r="U37" s="120"/>
      <c r="V37" s="4"/>
      <c r="W37" s="4"/>
      <c r="X37" s="4"/>
      <c r="Y37" s="4"/>
      <c r="Z37" s="120"/>
      <c r="AA37" s="120"/>
      <c r="AB37" s="120"/>
      <c r="AC37" s="120"/>
      <c r="AD37" s="120"/>
      <c r="AE37" s="120"/>
      <c r="AF37" s="120"/>
      <c r="AG37" s="120"/>
      <c r="AH37" s="120"/>
      <c r="AI37" s="120"/>
      <c r="AJ37" s="120"/>
      <c r="AK37" s="120"/>
      <c r="AL37" s="120"/>
      <c r="AM37" s="120"/>
      <c r="AN37" s="120"/>
      <c r="AO37" s="120"/>
      <c r="AP37" s="120"/>
      <c r="AQ37" s="120"/>
      <c r="AR37" s="120"/>
      <c r="AS37" s="4"/>
    </row>
    <row r="38" spans="1:45" x14ac:dyDescent="0.25">
      <c r="A38" s="4"/>
      <c r="B38" s="4"/>
      <c r="C38" s="120"/>
      <c r="D38" s="120"/>
      <c r="E38" s="120"/>
      <c r="F38" s="120"/>
      <c r="G38" s="120"/>
      <c r="H38" s="120"/>
      <c r="I38" s="120"/>
      <c r="J38" s="120"/>
      <c r="K38" s="120"/>
      <c r="L38" s="120"/>
      <c r="M38" s="120"/>
      <c r="N38" s="120"/>
      <c r="O38" s="120"/>
      <c r="P38" s="120"/>
      <c r="Q38" s="120"/>
      <c r="R38" s="120"/>
      <c r="S38" s="120"/>
      <c r="T38" s="120"/>
      <c r="U38" s="120"/>
      <c r="V38" s="4"/>
      <c r="W38" s="4"/>
      <c r="X38" s="4"/>
      <c r="Y38" s="4"/>
      <c r="Z38" s="120"/>
      <c r="AA38" s="120"/>
      <c r="AB38" s="120"/>
      <c r="AC38" s="120"/>
      <c r="AD38" s="120"/>
      <c r="AE38" s="120"/>
      <c r="AF38" s="120"/>
      <c r="AG38" s="120"/>
      <c r="AH38" s="120"/>
      <c r="AI38" s="120"/>
      <c r="AJ38" s="120"/>
      <c r="AK38" s="120"/>
      <c r="AL38" s="120"/>
      <c r="AM38" s="120"/>
      <c r="AN38" s="120"/>
      <c r="AO38" s="120"/>
      <c r="AP38" s="120"/>
      <c r="AQ38" s="120"/>
      <c r="AR38" s="120"/>
      <c r="AS38" s="4"/>
    </row>
    <row r="39" spans="1:45" x14ac:dyDescent="0.25">
      <c r="A39" s="4"/>
      <c r="B39" s="4"/>
      <c r="C39" s="120"/>
      <c r="D39" s="120"/>
      <c r="E39" s="120"/>
      <c r="F39" s="120"/>
      <c r="G39" s="120"/>
      <c r="H39" s="120"/>
      <c r="I39" s="120"/>
      <c r="J39" s="120"/>
      <c r="K39" s="120"/>
      <c r="L39" s="120"/>
      <c r="M39" s="120"/>
      <c r="N39" s="120"/>
      <c r="O39" s="120"/>
      <c r="P39" s="120"/>
      <c r="Q39" s="120"/>
      <c r="R39" s="120"/>
      <c r="S39" s="120"/>
      <c r="T39" s="120"/>
      <c r="U39" s="120"/>
      <c r="V39" s="4"/>
      <c r="W39" s="4"/>
      <c r="X39" s="4"/>
      <c r="Y39" s="4"/>
      <c r="Z39" s="120"/>
      <c r="AA39" s="120"/>
      <c r="AB39" s="120"/>
      <c r="AC39" s="120"/>
      <c r="AD39" s="120"/>
      <c r="AE39" s="120"/>
      <c r="AF39" s="120"/>
      <c r="AG39" s="120"/>
      <c r="AH39" s="120"/>
      <c r="AI39" s="120"/>
      <c r="AJ39" s="120"/>
      <c r="AK39" s="120"/>
      <c r="AL39" s="120"/>
      <c r="AM39" s="120"/>
      <c r="AN39" s="120"/>
      <c r="AO39" s="120"/>
      <c r="AP39" s="120"/>
      <c r="AQ39" s="120"/>
      <c r="AR39" s="120"/>
      <c r="AS39" s="4"/>
    </row>
    <row r="40" spans="1:45" x14ac:dyDescent="0.25">
      <c r="A40" s="119"/>
      <c r="B40" s="4"/>
      <c r="C40" s="120"/>
      <c r="D40" s="120"/>
      <c r="E40" s="120"/>
      <c r="F40" s="120"/>
      <c r="G40" s="120"/>
      <c r="H40" s="120"/>
      <c r="I40" s="120"/>
      <c r="J40" s="120"/>
      <c r="K40" s="120"/>
      <c r="L40" s="120"/>
      <c r="M40" s="120"/>
      <c r="N40" s="120"/>
      <c r="O40" s="120"/>
      <c r="P40" s="120"/>
      <c r="Q40" s="120"/>
      <c r="R40" s="120"/>
      <c r="S40" s="120"/>
      <c r="T40" s="120"/>
      <c r="U40" s="120"/>
      <c r="V40" s="4"/>
      <c r="W40" s="4"/>
      <c r="X40" s="119"/>
      <c r="Y40" s="4"/>
      <c r="Z40" s="120"/>
      <c r="AA40" s="120"/>
      <c r="AB40" s="120"/>
      <c r="AC40" s="120"/>
      <c r="AD40" s="120"/>
      <c r="AE40" s="120"/>
      <c r="AF40" s="120"/>
      <c r="AG40" s="120"/>
      <c r="AH40" s="120"/>
      <c r="AI40" s="120"/>
      <c r="AJ40" s="120"/>
      <c r="AK40" s="120"/>
      <c r="AL40" s="120"/>
      <c r="AM40" s="120"/>
      <c r="AN40" s="120"/>
      <c r="AO40" s="120"/>
      <c r="AP40" s="120"/>
      <c r="AQ40" s="120"/>
      <c r="AR40" s="120"/>
      <c r="AS40" s="4"/>
    </row>
    <row r="41" spans="1:45" x14ac:dyDescent="0.25">
      <c r="A41" s="4"/>
      <c r="B41" s="4"/>
      <c r="C41" s="120"/>
      <c r="D41" s="120"/>
      <c r="E41" s="120"/>
      <c r="F41" s="120"/>
      <c r="G41" s="120"/>
      <c r="H41" s="120"/>
      <c r="I41" s="120"/>
      <c r="J41" s="120"/>
      <c r="K41" s="120"/>
      <c r="L41" s="120"/>
      <c r="M41" s="120"/>
      <c r="N41" s="120"/>
      <c r="O41" s="120"/>
      <c r="P41" s="120"/>
      <c r="Q41" s="120"/>
      <c r="R41" s="120"/>
      <c r="S41" s="120"/>
      <c r="T41" s="120"/>
      <c r="U41" s="120"/>
      <c r="V41" s="4"/>
      <c r="W41" s="4"/>
      <c r="X41" s="4"/>
      <c r="Y41" s="4"/>
      <c r="Z41" s="120"/>
      <c r="AA41" s="120"/>
      <c r="AB41" s="120"/>
      <c r="AC41" s="120"/>
      <c r="AD41" s="120"/>
      <c r="AE41" s="120"/>
      <c r="AF41" s="120"/>
      <c r="AG41" s="120"/>
      <c r="AH41" s="120"/>
      <c r="AI41" s="120"/>
      <c r="AJ41" s="120"/>
      <c r="AK41" s="120"/>
      <c r="AL41" s="120"/>
      <c r="AM41" s="120"/>
      <c r="AN41" s="120"/>
      <c r="AO41" s="120"/>
      <c r="AP41" s="120"/>
      <c r="AQ41" s="120"/>
      <c r="AR41" s="120"/>
      <c r="AS41" s="4"/>
    </row>
    <row r="42" spans="1:45" x14ac:dyDescent="0.25">
      <c r="A42" s="4"/>
      <c r="B42" s="4"/>
      <c r="C42" s="120"/>
      <c r="D42" s="120"/>
      <c r="E42" s="120"/>
      <c r="F42" s="120"/>
      <c r="G42" s="120"/>
      <c r="H42" s="120"/>
      <c r="I42" s="120"/>
      <c r="J42" s="120"/>
      <c r="K42" s="120"/>
      <c r="L42" s="120"/>
      <c r="M42" s="120"/>
      <c r="N42" s="120"/>
      <c r="O42" s="120"/>
      <c r="P42" s="120"/>
      <c r="Q42" s="120"/>
      <c r="R42" s="120"/>
      <c r="S42" s="120"/>
      <c r="T42" s="120"/>
      <c r="U42" s="120"/>
      <c r="V42" s="4"/>
      <c r="W42" s="4"/>
      <c r="X42" s="4"/>
      <c r="Y42" s="4"/>
      <c r="Z42" s="120"/>
      <c r="AA42" s="120"/>
      <c r="AB42" s="120"/>
      <c r="AC42" s="120"/>
      <c r="AD42" s="120"/>
      <c r="AE42" s="120"/>
      <c r="AF42" s="120"/>
      <c r="AG42" s="120"/>
      <c r="AH42" s="120"/>
      <c r="AI42" s="120"/>
      <c r="AJ42" s="120"/>
      <c r="AK42" s="120"/>
      <c r="AL42" s="120"/>
      <c r="AM42" s="120"/>
      <c r="AN42" s="120"/>
      <c r="AO42" s="120"/>
      <c r="AP42" s="120"/>
      <c r="AQ42" s="120"/>
      <c r="AR42" s="120"/>
      <c r="AS42" s="4"/>
    </row>
    <row r="43" spans="1:45" x14ac:dyDescent="0.25">
      <c r="A43" s="4"/>
      <c r="B43" s="4"/>
      <c r="C43" s="120"/>
      <c r="D43" s="120"/>
      <c r="E43" s="120"/>
      <c r="F43" s="120"/>
      <c r="G43" s="120"/>
      <c r="H43" s="120"/>
      <c r="I43" s="120"/>
      <c r="J43" s="120"/>
      <c r="K43" s="120"/>
      <c r="L43" s="120"/>
      <c r="M43" s="120"/>
      <c r="N43" s="120"/>
      <c r="O43" s="120"/>
      <c r="P43" s="120"/>
      <c r="Q43" s="120"/>
      <c r="R43" s="120"/>
      <c r="S43" s="120"/>
      <c r="T43" s="120"/>
      <c r="U43" s="120"/>
      <c r="V43" s="4"/>
      <c r="W43" s="4"/>
      <c r="X43" s="4"/>
      <c r="Y43" s="4"/>
      <c r="Z43" s="120"/>
      <c r="AA43" s="120"/>
      <c r="AB43" s="120"/>
      <c r="AC43" s="120"/>
      <c r="AD43" s="120"/>
      <c r="AE43" s="120"/>
      <c r="AF43" s="120"/>
      <c r="AG43" s="120"/>
      <c r="AH43" s="120"/>
      <c r="AI43" s="120"/>
      <c r="AJ43" s="120"/>
      <c r="AK43" s="120"/>
      <c r="AL43" s="120"/>
      <c r="AM43" s="120"/>
      <c r="AN43" s="120"/>
      <c r="AO43" s="120"/>
      <c r="AP43" s="120"/>
      <c r="AQ43" s="120"/>
      <c r="AR43" s="120"/>
      <c r="AS43" s="4"/>
    </row>
    <row r="44" spans="1:45" x14ac:dyDescent="0.25">
      <c r="A44" s="4"/>
      <c r="B44" s="4"/>
      <c r="C44" s="120"/>
      <c r="D44" s="120"/>
      <c r="E44" s="120"/>
      <c r="F44" s="120"/>
      <c r="G44" s="120"/>
      <c r="H44" s="120"/>
      <c r="I44" s="120"/>
      <c r="J44" s="120"/>
      <c r="K44" s="120"/>
      <c r="L44" s="120"/>
      <c r="M44" s="120"/>
      <c r="N44" s="120"/>
      <c r="O44" s="120"/>
      <c r="P44" s="120"/>
      <c r="Q44" s="120"/>
      <c r="R44" s="120"/>
      <c r="S44" s="120"/>
      <c r="T44" s="120"/>
      <c r="U44" s="120"/>
      <c r="V44" s="4"/>
      <c r="W44" s="4"/>
      <c r="X44" s="4"/>
      <c r="Y44" s="4"/>
      <c r="Z44" s="120"/>
      <c r="AA44" s="120"/>
      <c r="AB44" s="120"/>
      <c r="AC44" s="120"/>
      <c r="AD44" s="120"/>
      <c r="AE44" s="120"/>
      <c r="AF44" s="120"/>
      <c r="AG44" s="120"/>
      <c r="AH44" s="120"/>
      <c r="AI44" s="120"/>
      <c r="AJ44" s="120"/>
      <c r="AK44" s="120"/>
      <c r="AL44" s="120"/>
      <c r="AM44" s="120"/>
      <c r="AN44" s="120"/>
      <c r="AO44" s="120"/>
      <c r="AP44" s="120"/>
      <c r="AQ44" s="120"/>
      <c r="AR44" s="120"/>
      <c r="AS44" s="4"/>
    </row>
    <row r="45" spans="1:45" x14ac:dyDescent="0.25">
      <c r="A45" s="4"/>
      <c r="B45" s="4"/>
      <c r="C45" s="120"/>
      <c r="D45" s="120"/>
      <c r="E45" s="120"/>
      <c r="F45" s="120"/>
      <c r="G45" s="120"/>
      <c r="H45" s="120"/>
      <c r="I45" s="120"/>
      <c r="J45" s="120"/>
      <c r="K45" s="120"/>
      <c r="L45" s="120"/>
      <c r="M45" s="120"/>
      <c r="N45" s="120"/>
      <c r="O45" s="120"/>
      <c r="P45" s="120"/>
      <c r="Q45" s="120"/>
      <c r="R45" s="120"/>
      <c r="S45" s="120"/>
      <c r="T45" s="120"/>
      <c r="U45" s="120"/>
      <c r="V45" s="4"/>
      <c r="W45" s="4"/>
      <c r="X45" s="4"/>
      <c r="Y45" s="4"/>
      <c r="Z45" s="120"/>
      <c r="AA45" s="120"/>
      <c r="AB45" s="120"/>
      <c r="AC45" s="120"/>
      <c r="AD45" s="120"/>
      <c r="AE45" s="120"/>
      <c r="AF45" s="120"/>
      <c r="AG45" s="120"/>
      <c r="AH45" s="120"/>
      <c r="AI45" s="120"/>
      <c r="AJ45" s="120"/>
      <c r="AK45" s="120"/>
      <c r="AL45" s="120"/>
      <c r="AM45" s="120"/>
      <c r="AN45" s="120"/>
      <c r="AO45" s="120"/>
      <c r="AP45" s="120"/>
      <c r="AQ45" s="120"/>
      <c r="AR45" s="120"/>
      <c r="AS45" s="4"/>
    </row>
    <row r="46" spans="1:45" x14ac:dyDescent="0.25">
      <c r="A46" s="4"/>
      <c r="B46" s="4"/>
      <c r="C46" s="120"/>
      <c r="D46" s="120"/>
      <c r="E46" s="120"/>
      <c r="F46" s="120"/>
      <c r="G46" s="120"/>
      <c r="H46" s="120"/>
      <c r="I46" s="120"/>
      <c r="J46" s="120"/>
      <c r="K46" s="76"/>
      <c r="L46" s="120"/>
      <c r="M46" s="76"/>
      <c r="N46" s="120"/>
      <c r="O46" s="76"/>
      <c r="P46" s="120"/>
      <c r="Q46" s="76"/>
      <c r="R46" s="120"/>
      <c r="S46" s="120"/>
      <c r="T46" s="120"/>
      <c r="U46" s="120"/>
      <c r="V46" s="4"/>
      <c r="W46" s="4"/>
      <c r="X46" s="4"/>
      <c r="Y46" s="4"/>
      <c r="Z46" s="120"/>
      <c r="AA46" s="120"/>
      <c r="AB46" s="120"/>
      <c r="AC46" s="120"/>
      <c r="AD46" s="120"/>
      <c r="AE46" s="120"/>
      <c r="AF46" s="120"/>
      <c r="AG46" s="120"/>
      <c r="AH46" s="120"/>
      <c r="AI46" s="120"/>
      <c r="AJ46" s="120"/>
      <c r="AK46" s="120"/>
      <c r="AL46" s="120"/>
      <c r="AM46" s="120"/>
      <c r="AN46" s="120"/>
      <c r="AO46" s="120"/>
      <c r="AP46" s="120"/>
      <c r="AQ46" s="120"/>
      <c r="AR46" s="120"/>
      <c r="AS46" s="4"/>
    </row>
    <row r="47" spans="1:45" x14ac:dyDescent="0.2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row>
    <row r="48" spans="1:45" x14ac:dyDescent="0.25">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row>
    <row r="49" spans="1:45" x14ac:dyDescent="0.25">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row>
  </sheetData>
  <mergeCells count="6">
    <mergeCell ref="M1:N1"/>
    <mergeCell ref="C1:D1"/>
    <mergeCell ref="E1:F1"/>
    <mergeCell ref="G1:H1"/>
    <mergeCell ref="I1:J1"/>
    <mergeCell ref="K1:L1"/>
  </mergeCell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K98"/>
  <sheetViews>
    <sheetView workbookViewId="0">
      <selection activeCell="V19" sqref="V19"/>
    </sheetView>
  </sheetViews>
  <sheetFormatPr defaultRowHeight="15" x14ac:dyDescent="0.25"/>
  <cols>
    <col min="1" max="1" width="3.28515625" bestFit="1" customWidth="1"/>
    <col min="2" max="2" width="8.85546875" customWidth="1"/>
    <col min="3" max="3" width="9.28515625" bestFit="1" customWidth="1"/>
    <col min="4" max="4" width="6.28515625" bestFit="1" customWidth="1"/>
    <col min="5" max="6" width="7.140625" bestFit="1" customWidth="1"/>
    <col min="7" max="7" width="9.28515625" bestFit="1" customWidth="1"/>
    <col min="8" max="8" width="7.140625" bestFit="1" customWidth="1"/>
    <col min="9" max="9" width="7.140625" customWidth="1"/>
    <col min="10" max="10" width="7.140625" bestFit="1" customWidth="1"/>
  </cols>
  <sheetData>
    <row r="1" spans="1:10" x14ac:dyDescent="0.25">
      <c r="A1" s="11"/>
      <c r="B1" s="12" t="s">
        <v>973</v>
      </c>
      <c r="C1" s="139" t="s">
        <v>980</v>
      </c>
      <c r="D1" s="139"/>
      <c r="E1" s="139"/>
      <c r="F1" s="139"/>
      <c r="G1" s="139" t="s">
        <v>986</v>
      </c>
      <c r="H1" s="139"/>
      <c r="I1" s="139"/>
      <c r="J1" s="139"/>
    </row>
    <row r="2" spans="1:10" x14ac:dyDescent="0.25">
      <c r="A2" s="12"/>
      <c r="B2" s="9" t="s">
        <v>25</v>
      </c>
      <c r="C2" s="9" t="s">
        <v>26</v>
      </c>
      <c r="D2" s="9" t="s">
        <v>38</v>
      </c>
      <c r="E2" s="9" t="s">
        <v>17</v>
      </c>
      <c r="F2" s="7" t="s">
        <v>27</v>
      </c>
      <c r="G2" s="9" t="s">
        <v>26</v>
      </c>
      <c r="H2" s="9" t="s">
        <v>38</v>
      </c>
      <c r="I2" s="9" t="s">
        <v>17</v>
      </c>
      <c r="J2" s="9" t="s">
        <v>27</v>
      </c>
    </row>
    <row r="3" spans="1:10" x14ac:dyDescent="0.25">
      <c r="A3" s="12" t="s">
        <v>29</v>
      </c>
      <c r="B3" s="13">
        <v>2.2000000000000002</v>
      </c>
      <c r="C3" s="14">
        <v>0.46100000000000002</v>
      </c>
      <c r="D3" s="14">
        <v>0</v>
      </c>
      <c r="E3" s="14">
        <v>0.53900000000000003</v>
      </c>
      <c r="F3" s="14">
        <v>0</v>
      </c>
      <c r="G3" s="14">
        <v>0</v>
      </c>
      <c r="H3" s="79">
        <v>0</v>
      </c>
      <c r="I3" s="14">
        <v>1</v>
      </c>
      <c r="J3" s="14">
        <v>0</v>
      </c>
    </row>
    <row r="4" spans="1:10" x14ac:dyDescent="0.25">
      <c r="A4" s="12" t="s">
        <v>11</v>
      </c>
      <c r="B4" s="13">
        <v>3.9</v>
      </c>
      <c r="C4" s="14">
        <v>0.106</v>
      </c>
      <c r="D4" s="14">
        <v>0</v>
      </c>
      <c r="E4" s="14">
        <v>0.89400000000000002</v>
      </c>
      <c r="F4" s="14">
        <v>0</v>
      </c>
      <c r="G4" s="14">
        <v>0</v>
      </c>
      <c r="H4" s="79">
        <v>0</v>
      </c>
      <c r="I4" s="14">
        <v>0</v>
      </c>
      <c r="J4" s="80">
        <v>1</v>
      </c>
    </row>
    <row r="5" spans="1:10" x14ac:dyDescent="0.25">
      <c r="A5" s="12" t="s">
        <v>13</v>
      </c>
      <c r="B5" s="13">
        <v>0.23</v>
      </c>
      <c r="C5" s="14">
        <v>7.0000000000000001E-3</v>
      </c>
      <c r="D5" s="14">
        <v>0</v>
      </c>
      <c r="E5" s="14">
        <v>0.99299999999999999</v>
      </c>
      <c r="F5" s="14">
        <v>0</v>
      </c>
      <c r="G5" s="14">
        <v>0</v>
      </c>
      <c r="H5" s="79">
        <v>0</v>
      </c>
      <c r="I5" s="14">
        <v>1</v>
      </c>
      <c r="J5" s="14">
        <v>0</v>
      </c>
    </row>
    <row r="6" spans="1:10" x14ac:dyDescent="0.25">
      <c r="A6" s="12" t="s">
        <v>15</v>
      </c>
      <c r="B6" s="13">
        <v>36</v>
      </c>
      <c r="C6" s="14">
        <v>5.0999999999999997E-2</v>
      </c>
      <c r="D6" s="14">
        <v>0</v>
      </c>
      <c r="E6" s="14">
        <v>0</v>
      </c>
      <c r="F6" s="14">
        <v>0.94799999999999995</v>
      </c>
      <c r="G6" s="14">
        <v>0</v>
      </c>
      <c r="H6" s="79">
        <v>0</v>
      </c>
      <c r="I6" s="14">
        <v>0</v>
      </c>
      <c r="J6" s="80">
        <v>1</v>
      </c>
    </row>
    <row r="7" spans="1:10" x14ac:dyDescent="0.25">
      <c r="A7" s="12" t="s">
        <v>30</v>
      </c>
      <c r="B7" s="13">
        <v>3.5E-4</v>
      </c>
      <c r="C7" s="14">
        <v>0</v>
      </c>
      <c r="D7" s="14">
        <v>0</v>
      </c>
      <c r="E7" s="14">
        <v>0.995</v>
      </c>
      <c r="F7" s="14">
        <v>5.0000000000000001E-3</v>
      </c>
      <c r="G7" s="14">
        <v>0</v>
      </c>
      <c r="H7" s="79">
        <v>0</v>
      </c>
      <c r="I7" s="14">
        <v>1</v>
      </c>
      <c r="J7" s="14">
        <v>0</v>
      </c>
    </row>
    <row r="8" spans="1:10" x14ac:dyDescent="0.25">
      <c r="A8" s="12" t="s">
        <v>31</v>
      </c>
      <c r="B8" s="13">
        <v>5.1999999999999997E-5</v>
      </c>
      <c r="C8" s="14">
        <v>0</v>
      </c>
      <c r="D8" s="14">
        <v>0</v>
      </c>
      <c r="E8" s="14">
        <v>0.99199999999999999</v>
      </c>
      <c r="F8" s="14">
        <v>8.0000000000000002E-3</v>
      </c>
      <c r="G8" s="14">
        <v>0</v>
      </c>
      <c r="H8" s="79">
        <v>0</v>
      </c>
      <c r="I8" s="14">
        <v>1</v>
      </c>
      <c r="J8" s="14">
        <v>0</v>
      </c>
    </row>
    <row r="9" spans="1:10" x14ac:dyDescent="0.25">
      <c r="A9" s="12" t="s">
        <v>32</v>
      </c>
      <c r="B9" s="13">
        <v>8.5000000000000006E-5</v>
      </c>
      <c r="C9" s="14">
        <v>2E-3</v>
      </c>
      <c r="D9" s="14">
        <v>0</v>
      </c>
      <c r="E9" s="14">
        <v>0.997</v>
      </c>
      <c r="F9" s="14">
        <v>0</v>
      </c>
      <c r="G9" s="14">
        <v>0</v>
      </c>
      <c r="H9" s="79">
        <v>0</v>
      </c>
      <c r="I9" s="14">
        <v>1</v>
      </c>
      <c r="J9" s="14">
        <v>0</v>
      </c>
    </row>
    <row r="10" spans="1:10" x14ac:dyDescent="0.25">
      <c r="A10" s="12" t="s">
        <v>33</v>
      </c>
      <c r="B10" s="13">
        <v>3.3E-3</v>
      </c>
      <c r="C10" s="14">
        <v>0</v>
      </c>
      <c r="D10" s="14">
        <v>0</v>
      </c>
      <c r="E10" s="14">
        <v>0.999</v>
      </c>
      <c r="F10" s="14">
        <v>1E-3</v>
      </c>
      <c r="G10" s="14">
        <v>0</v>
      </c>
      <c r="H10" s="79">
        <v>0</v>
      </c>
      <c r="I10" s="14">
        <v>1</v>
      </c>
      <c r="J10" s="14">
        <v>0</v>
      </c>
    </row>
    <row r="11" spans="1:10" x14ac:dyDescent="0.25">
      <c r="A11" s="12" t="s">
        <v>34</v>
      </c>
      <c r="B11" s="13">
        <v>2.7E-2</v>
      </c>
      <c r="C11" s="14">
        <v>0</v>
      </c>
      <c r="D11" s="14">
        <v>0</v>
      </c>
      <c r="E11" s="14">
        <v>1</v>
      </c>
      <c r="F11" s="14">
        <v>0</v>
      </c>
      <c r="G11" s="14">
        <v>0</v>
      </c>
      <c r="H11" s="79">
        <v>0</v>
      </c>
      <c r="I11" s="14">
        <v>1</v>
      </c>
      <c r="J11" s="14">
        <v>0</v>
      </c>
    </row>
    <row r="12" spans="1:10" x14ac:dyDescent="0.25">
      <c r="A12" s="12" t="s">
        <v>35</v>
      </c>
      <c r="B12" s="13">
        <v>2.2000000000000001E-3</v>
      </c>
      <c r="C12" s="14">
        <v>0</v>
      </c>
      <c r="D12" s="14">
        <v>0</v>
      </c>
      <c r="E12" s="14">
        <v>0.999</v>
      </c>
      <c r="F12" s="14">
        <v>1E-3</v>
      </c>
      <c r="G12" s="14">
        <v>0</v>
      </c>
      <c r="H12" s="79">
        <v>0</v>
      </c>
      <c r="I12" s="14">
        <v>1</v>
      </c>
      <c r="J12" s="14">
        <v>0</v>
      </c>
    </row>
    <row r="13" spans="1:10" x14ac:dyDescent="0.25">
      <c r="A13" s="12" t="s">
        <v>36</v>
      </c>
      <c r="B13" s="13">
        <v>3.3E-3</v>
      </c>
      <c r="C13" s="14">
        <v>0</v>
      </c>
      <c r="D13" s="14">
        <v>0</v>
      </c>
      <c r="E13" s="14">
        <v>0.998</v>
      </c>
      <c r="F13" s="14">
        <v>2E-3</v>
      </c>
      <c r="G13" s="14">
        <v>0</v>
      </c>
      <c r="H13" s="79">
        <v>0</v>
      </c>
      <c r="I13" s="14">
        <v>1</v>
      </c>
      <c r="J13" s="14">
        <v>0</v>
      </c>
    </row>
    <row r="14" spans="1:10" x14ac:dyDescent="0.25">
      <c r="A14" s="12" t="s">
        <v>37</v>
      </c>
      <c r="B14" s="13">
        <v>6.3E-2</v>
      </c>
      <c r="C14" s="14">
        <v>0</v>
      </c>
      <c r="D14" s="14">
        <v>0</v>
      </c>
      <c r="E14" s="14">
        <v>0.999</v>
      </c>
      <c r="F14" s="14">
        <v>1E-3</v>
      </c>
      <c r="G14" s="14">
        <v>0</v>
      </c>
      <c r="H14" s="79">
        <v>0</v>
      </c>
      <c r="I14" s="14">
        <v>1</v>
      </c>
      <c r="J14" s="14">
        <v>0</v>
      </c>
    </row>
    <row r="15" spans="1:10" x14ac:dyDescent="0.25">
      <c r="A15" s="11"/>
      <c r="B15" s="12" t="s">
        <v>974</v>
      </c>
      <c r="C15" s="139" t="s">
        <v>981</v>
      </c>
      <c r="D15" s="139"/>
      <c r="E15" s="139"/>
      <c r="F15" s="139"/>
      <c r="G15" s="139" t="s">
        <v>987</v>
      </c>
      <c r="H15" s="139"/>
      <c r="I15" s="139"/>
      <c r="J15" s="139"/>
    </row>
    <row r="16" spans="1:10" x14ac:dyDescent="0.25">
      <c r="A16" s="12"/>
      <c r="B16" s="9" t="s">
        <v>25</v>
      </c>
      <c r="C16" s="9" t="s">
        <v>26</v>
      </c>
      <c r="D16" s="9" t="s">
        <v>38</v>
      </c>
      <c r="E16" s="9" t="s">
        <v>17</v>
      </c>
      <c r="F16" s="9" t="s">
        <v>27</v>
      </c>
      <c r="G16" s="9" t="s">
        <v>26</v>
      </c>
      <c r="H16" s="9" t="s">
        <v>38</v>
      </c>
      <c r="I16" s="9" t="s">
        <v>17</v>
      </c>
      <c r="J16" s="9" t="s">
        <v>27</v>
      </c>
    </row>
    <row r="17" spans="1:10" x14ac:dyDescent="0.25">
      <c r="A17" s="12" t="s">
        <v>29</v>
      </c>
      <c r="B17" s="13">
        <v>1.1000000000000001</v>
      </c>
      <c r="C17" s="14">
        <v>1</v>
      </c>
      <c r="D17" s="14">
        <v>0</v>
      </c>
      <c r="E17" s="14">
        <v>0</v>
      </c>
      <c r="F17" s="14">
        <v>0</v>
      </c>
      <c r="G17" s="14">
        <v>0</v>
      </c>
      <c r="H17" s="14">
        <v>1</v>
      </c>
      <c r="I17" s="14">
        <v>0</v>
      </c>
      <c r="J17" s="14">
        <v>0</v>
      </c>
    </row>
    <row r="18" spans="1:10" x14ac:dyDescent="0.25">
      <c r="A18" s="12" t="s">
        <v>11</v>
      </c>
      <c r="B18" s="13">
        <v>3.2</v>
      </c>
      <c r="C18" s="14">
        <v>0</v>
      </c>
      <c r="D18" s="14">
        <v>0</v>
      </c>
      <c r="E18" s="14">
        <v>0</v>
      </c>
      <c r="F18" s="14">
        <v>1</v>
      </c>
      <c r="G18" s="14">
        <v>0</v>
      </c>
      <c r="H18" s="14">
        <v>0.96</v>
      </c>
      <c r="I18" s="14">
        <v>0</v>
      </c>
      <c r="J18" s="14">
        <v>4.1000000000000002E-2</v>
      </c>
    </row>
    <row r="19" spans="1:10" x14ac:dyDescent="0.25">
      <c r="A19" s="12" t="s">
        <v>13</v>
      </c>
      <c r="B19" s="13">
        <v>1.9</v>
      </c>
      <c r="C19" s="14">
        <v>1</v>
      </c>
      <c r="D19" s="14">
        <v>0</v>
      </c>
      <c r="E19" s="14">
        <v>0</v>
      </c>
      <c r="F19" s="14">
        <v>0</v>
      </c>
      <c r="G19" s="14">
        <v>0</v>
      </c>
      <c r="H19" s="14">
        <v>1</v>
      </c>
      <c r="I19" s="14">
        <v>0</v>
      </c>
      <c r="J19" s="14">
        <v>0</v>
      </c>
    </row>
    <row r="20" spans="1:10" x14ac:dyDescent="0.25">
      <c r="A20" s="12" t="s">
        <v>15</v>
      </c>
      <c r="B20" s="13">
        <v>30</v>
      </c>
      <c r="C20" s="14">
        <v>6.0000000000000001E-3</v>
      </c>
      <c r="D20" s="14">
        <v>0</v>
      </c>
      <c r="E20" s="14">
        <v>0</v>
      </c>
      <c r="F20" s="14">
        <v>0.99399999999999999</v>
      </c>
      <c r="G20" s="14">
        <v>0</v>
      </c>
      <c r="H20" s="14">
        <v>0.98799999999999999</v>
      </c>
      <c r="I20" s="14">
        <v>0</v>
      </c>
      <c r="J20" s="14">
        <v>1.2E-2</v>
      </c>
    </row>
    <row r="21" spans="1:10" x14ac:dyDescent="0.25">
      <c r="A21" s="12" t="s">
        <v>30</v>
      </c>
      <c r="B21" s="13">
        <v>2.6999999999999999E-5</v>
      </c>
      <c r="C21" s="14">
        <v>0.99099999999999999</v>
      </c>
      <c r="D21" s="14">
        <v>0</v>
      </c>
      <c r="E21" s="14">
        <v>0</v>
      </c>
      <c r="F21" s="14">
        <v>8.9999999999999993E-3</v>
      </c>
      <c r="G21" s="14">
        <v>0</v>
      </c>
      <c r="H21" s="14">
        <v>1</v>
      </c>
      <c r="I21" s="14">
        <v>0</v>
      </c>
      <c r="J21" s="14">
        <v>0</v>
      </c>
    </row>
    <row r="22" spans="1:10" x14ac:dyDescent="0.25">
      <c r="A22" s="12" t="s">
        <v>31</v>
      </c>
      <c r="B22" s="13">
        <v>0</v>
      </c>
      <c r="C22" s="14">
        <v>0</v>
      </c>
      <c r="D22" s="14">
        <v>0</v>
      </c>
      <c r="E22" s="14">
        <v>0</v>
      </c>
      <c r="F22" s="14">
        <v>0</v>
      </c>
      <c r="G22" s="14">
        <v>0</v>
      </c>
      <c r="H22" s="14">
        <v>0</v>
      </c>
      <c r="I22" s="14">
        <v>0</v>
      </c>
      <c r="J22" s="14">
        <v>0</v>
      </c>
    </row>
    <row r="23" spans="1:10" x14ac:dyDescent="0.25">
      <c r="A23" s="12" t="s">
        <v>32</v>
      </c>
      <c r="B23" s="13">
        <v>1.5999999999999999E-5</v>
      </c>
      <c r="C23" s="14">
        <v>0.999</v>
      </c>
      <c r="D23" s="14">
        <v>0</v>
      </c>
      <c r="E23" s="14">
        <v>0</v>
      </c>
      <c r="F23" s="14">
        <v>1E-3</v>
      </c>
      <c r="G23" s="14">
        <v>0</v>
      </c>
      <c r="H23" s="14">
        <v>1</v>
      </c>
      <c r="I23" s="14">
        <v>0</v>
      </c>
      <c r="J23" s="14">
        <v>0</v>
      </c>
    </row>
    <row r="24" spans="1:10" x14ac:dyDescent="0.25">
      <c r="A24" s="12" t="s">
        <v>33</v>
      </c>
      <c r="B24" s="13">
        <v>2.9999999999999997E-4</v>
      </c>
      <c r="C24" s="14">
        <v>0.999</v>
      </c>
      <c r="D24" s="14">
        <v>0</v>
      </c>
      <c r="E24" s="14">
        <v>0</v>
      </c>
      <c r="F24" s="14">
        <v>1E-3</v>
      </c>
      <c r="G24" s="14">
        <v>0</v>
      </c>
      <c r="H24" s="14">
        <v>1</v>
      </c>
      <c r="I24" s="14">
        <v>0</v>
      </c>
      <c r="J24" s="14">
        <v>0</v>
      </c>
    </row>
    <row r="25" spans="1:10" x14ac:dyDescent="0.25">
      <c r="A25" s="12" t="s">
        <v>34</v>
      </c>
      <c r="B25" s="13">
        <v>6.1000000000000004E-3</v>
      </c>
      <c r="C25" s="14">
        <v>1</v>
      </c>
      <c r="D25" s="14">
        <v>0</v>
      </c>
      <c r="E25" s="14">
        <v>0</v>
      </c>
      <c r="F25" s="14">
        <v>0</v>
      </c>
      <c r="G25" s="14">
        <v>0</v>
      </c>
      <c r="H25" s="14">
        <v>1</v>
      </c>
      <c r="I25" s="14">
        <v>0</v>
      </c>
      <c r="J25" s="14">
        <v>0</v>
      </c>
    </row>
    <row r="26" spans="1:10" x14ac:dyDescent="0.25">
      <c r="A26" s="12" t="s">
        <v>35</v>
      </c>
      <c r="B26" s="13">
        <v>3.5000000000000001E-3</v>
      </c>
      <c r="C26" s="14">
        <v>0.998</v>
      </c>
      <c r="D26" s="14">
        <v>0</v>
      </c>
      <c r="E26" s="14">
        <v>0</v>
      </c>
      <c r="F26" s="14">
        <v>2E-3</v>
      </c>
      <c r="G26" s="14">
        <v>0</v>
      </c>
      <c r="H26" s="14">
        <v>1</v>
      </c>
      <c r="I26" s="14">
        <v>0</v>
      </c>
      <c r="J26" s="14">
        <v>0</v>
      </c>
    </row>
    <row r="27" spans="1:10" x14ac:dyDescent="0.25">
      <c r="A27" s="12" t="s">
        <v>36</v>
      </c>
      <c r="B27" s="13">
        <v>1.4999999999999999E-4</v>
      </c>
      <c r="C27" s="14">
        <v>0.995</v>
      </c>
      <c r="D27" s="14">
        <v>0</v>
      </c>
      <c r="E27" s="14">
        <v>0</v>
      </c>
      <c r="F27" s="14">
        <v>5.0000000000000001E-3</v>
      </c>
      <c r="G27" s="14">
        <v>0</v>
      </c>
      <c r="H27" s="14">
        <v>1</v>
      </c>
      <c r="I27" s="14">
        <v>0</v>
      </c>
      <c r="J27" s="14">
        <v>0</v>
      </c>
    </row>
    <row r="28" spans="1:10" x14ac:dyDescent="0.25">
      <c r="A28" s="12" t="s">
        <v>37</v>
      </c>
      <c r="B28" s="13">
        <v>3.1E-2</v>
      </c>
      <c r="C28" s="14">
        <v>0.999</v>
      </c>
      <c r="D28" s="14">
        <v>0</v>
      </c>
      <c r="E28" s="14">
        <v>0</v>
      </c>
      <c r="F28" s="14">
        <v>1E-3</v>
      </c>
      <c r="G28" s="14">
        <v>0</v>
      </c>
      <c r="H28" s="14">
        <v>1</v>
      </c>
      <c r="I28" s="14">
        <v>0</v>
      </c>
      <c r="J28" s="14">
        <v>0</v>
      </c>
    </row>
    <row r="29" spans="1:10" x14ac:dyDescent="0.25">
      <c r="A29" s="11"/>
      <c r="B29" s="12" t="s">
        <v>975</v>
      </c>
      <c r="C29" s="139" t="s">
        <v>982</v>
      </c>
      <c r="D29" s="139"/>
      <c r="E29" s="139"/>
      <c r="F29" s="139"/>
      <c r="G29" s="139" t="s">
        <v>988</v>
      </c>
      <c r="H29" s="139"/>
      <c r="I29" s="139"/>
      <c r="J29" s="139"/>
    </row>
    <row r="30" spans="1:10" x14ac:dyDescent="0.25">
      <c r="A30" s="12"/>
      <c r="B30" s="9" t="s">
        <v>25</v>
      </c>
      <c r="C30" s="9" t="s">
        <v>26</v>
      </c>
      <c r="D30" s="9" t="s">
        <v>38</v>
      </c>
      <c r="E30" s="9" t="s">
        <v>17</v>
      </c>
      <c r="F30" s="9" t="s">
        <v>27</v>
      </c>
      <c r="G30" s="9" t="s">
        <v>26</v>
      </c>
      <c r="H30" s="9" t="s">
        <v>38</v>
      </c>
      <c r="I30" s="9" t="s">
        <v>17</v>
      </c>
      <c r="J30" s="9" t="s">
        <v>27</v>
      </c>
    </row>
    <row r="31" spans="1:10" x14ac:dyDescent="0.25">
      <c r="A31" s="12" t="s">
        <v>29</v>
      </c>
      <c r="B31" s="13">
        <v>1.1000000000000001</v>
      </c>
      <c r="C31" s="14">
        <v>0.98</v>
      </c>
      <c r="D31" s="14">
        <v>0</v>
      </c>
      <c r="E31" s="14">
        <v>0.02</v>
      </c>
      <c r="F31" s="14">
        <v>0</v>
      </c>
      <c r="G31" s="14">
        <v>0</v>
      </c>
      <c r="H31" s="79">
        <v>0</v>
      </c>
      <c r="I31" s="14">
        <v>1</v>
      </c>
      <c r="J31" s="14">
        <v>0</v>
      </c>
    </row>
    <row r="32" spans="1:10" x14ac:dyDescent="0.25">
      <c r="A32" s="12" t="s">
        <v>11</v>
      </c>
      <c r="B32" s="13">
        <v>2</v>
      </c>
      <c r="C32" s="14">
        <v>0</v>
      </c>
      <c r="D32" s="14">
        <v>0</v>
      </c>
      <c r="E32" s="14">
        <v>0</v>
      </c>
      <c r="F32" s="14">
        <v>1</v>
      </c>
      <c r="G32" s="14">
        <v>0</v>
      </c>
      <c r="H32" s="79">
        <v>0</v>
      </c>
      <c r="I32" s="14">
        <v>0</v>
      </c>
      <c r="J32" s="14">
        <v>1</v>
      </c>
    </row>
    <row r="33" spans="1:10" x14ac:dyDescent="0.25">
      <c r="A33" s="12" t="s">
        <v>13</v>
      </c>
      <c r="B33" s="13">
        <v>0.12</v>
      </c>
      <c r="C33" s="14">
        <v>1</v>
      </c>
      <c r="D33" s="14">
        <v>0</v>
      </c>
      <c r="E33" s="14">
        <v>0</v>
      </c>
      <c r="F33" s="14">
        <v>0</v>
      </c>
      <c r="G33" s="14">
        <v>0</v>
      </c>
      <c r="H33" s="79">
        <v>0</v>
      </c>
      <c r="I33" s="14">
        <v>1</v>
      </c>
      <c r="J33" s="14">
        <v>0</v>
      </c>
    </row>
    <row r="34" spans="1:10" x14ac:dyDescent="0.25">
      <c r="A34" s="12" t="s">
        <v>15</v>
      </c>
      <c r="B34" s="13">
        <v>19</v>
      </c>
      <c r="C34" s="14">
        <v>0</v>
      </c>
      <c r="D34" s="14">
        <v>0</v>
      </c>
      <c r="E34" s="14">
        <v>0</v>
      </c>
      <c r="F34" s="14">
        <v>1</v>
      </c>
      <c r="G34" s="14">
        <v>0</v>
      </c>
      <c r="H34" s="79">
        <v>0</v>
      </c>
      <c r="I34" s="14">
        <v>0</v>
      </c>
      <c r="J34" s="14">
        <v>1</v>
      </c>
    </row>
    <row r="35" spans="1:10" x14ac:dyDescent="0.25">
      <c r="A35" s="12" t="s">
        <v>30</v>
      </c>
      <c r="B35" s="13">
        <v>1.9000000000000001E-4</v>
      </c>
      <c r="C35" s="14">
        <v>0.32300000000000001</v>
      </c>
      <c r="D35" s="14">
        <v>0</v>
      </c>
      <c r="E35" s="14">
        <v>0.66800000000000004</v>
      </c>
      <c r="F35" s="14">
        <v>8.9999999999999993E-3</v>
      </c>
      <c r="G35" s="14">
        <v>0</v>
      </c>
      <c r="H35" s="79">
        <v>0</v>
      </c>
      <c r="I35" s="14">
        <v>1</v>
      </c>
      <c r="J35" s="14">
        <v>0</v>
      </c>
    </row>
    <row r="36" spans="1:10" x14ac:dyDescent="0.25">
      <c r="A36" s="12" t="s">
        <v>31</v>
      </c>
      <c r="B36" s="13">
        <v>2.6999999999999999E-5</v>
      </c>
      <c r="C36" s="14">
        <v>0.38400000000000001</v>
      </c>
      <c r="D36" s="14">
        <v>0</v>
      </c>
      <c r="E36" s="14">
        <v>0.60599999999999998</v>
      </c>
      <c r="F36" s="14">
        <v>8.9999999999999993E-3</v>
      </c>
      <c r="G36" s="14">
        <v>0</v>
      </c>
      <c r="H36" s="79">
        <v>0</v>
      </c>
      <c r="I36" s="14">
        <v>1</v>
      </c>
      <c r="J36" s="14">
        <v>0</v>
      </c>
    </row>
    <row r="37" spans="1:10" x14ac:dyDescent="0.25">
      <c r="A37" s="12" t="s">
        <v>32</v>
      </c>
      <c r="B37" s="13">
        <v>4.3999999999999999E-5</v>
      </c>
      <c r="C37" s="14">
        <v>0.125</v>
      </c>
      <c r="D37" s="14">
        <v>0</v>
      </c>
      <c r="E37" s="14">
        <v>0.874</v>
      </c>
      <c r="F37" s="14">
        <v>1E-3</v>
      </c>
      <c r="G37" s="14">
        <v>0</v>
      </c>
      <c r="H37" s="79">
        <v>0</v>
      </c>
      <c r="I37" s="14">
        <v>1</v>
      </c>
      <c r="J37" s="14">
        <v>0</v>
      </c>
    </row>
    <row r="38" spans="1:10" x14ac:dyDescent="0.25">
      <c r="A38" s="12" t="s">
        <v>33</v>
      </c>
      <c r="B38" s="13">
        <v>1.6999999999999999E-3</v>
      </c>
      <c r="C38" s="14">
        <v>0.999</v>
      </c>
      <c r="D38" s="14">
        <v>0</v>
      </c>
      <c r="E38" s="14">
        <v>0</v>
      </c>
      <c r="F38" s="14">
        <v>1E-3</v>
      </c>
      <c r="G38" s="14">
        <v>0</v>
      </c>
      <c r="H38" s="79">
        <v>0</v>
      </c>
      <c r="I38" s="14">
        <v>1</v>
      </c>
      <c r="J38" s="14">
        <v>0</v>
      </c>
    </row>
    <row r="39" spans="1:10" x14ac:dyDescent="0.25">
      <c r="A39" s="12" t="s">
        <v>34</v>
      </c>
      <c r="B39" s="13">
        <v>1.4E-2</v>
      </c>
      <c r="C39" s="14">
        <v>0.65</v>
      </c>
      <c r="D39" s="14">
        <v>0</v>
      </c>
      <c r="E39" s="14">
        <v>0.35</v>
      </c>
      <c r="F39" s="14">
        <v>0</v>
      </c>
      <c r="G39" s="14">
        <v>0</v>
      </c>
      <c r="H39" s="79">
        <v>0</v>
      </c>
      <c r="I39" s="14">
        <v>1</v>
      </c>
      <c r="J39" s="14">
        <v>0</v>
      </c>
    </row>
    <row r="40" spans="1:10" x14ac:dyDescent="0.25">
      <c r="A40" s="12" t="s">
        <v>35</v>
      </c>
      <c r="B40" s="13">
        <v>1.1999999999999999E-3</v>
      </c>
      <c r="C40" s="14">
        <v>0.73</v>
      </c>
      <c r="D40" s="14">
        <v>0</v>
      </c>
      <c r="E40" s="14">
        <v>0.26900000000000002</v>
      </c>
      <c r="F40" s="14">
        <v>1E-3</v>
      </c>
      <c r="G40" s="14">
        <v>0</v>
      </c>
      <c r="H40" s="79">
        <v>0</v>
      </c>
      <c r="I40" s="14">
        <v>1</v>
      </c>
      <c r="J40" s="14">
        <v>0</v>
      </c>
    </row>
    <row r="41" spans="1:10" x14ac:dyDescent="0.25">
      <c r="A41" s="12" t="s">
        <v>36</v>
      </c>
      <c r="B41" s="13">
        <v>1.6999999999999999E-3</v>
      </c>
      <c r="C41" s="14">
        <v>0.52</v>
      </c>
      <c r="D41" s="14">
        <v>0</v>
      </c>
      <c r="E41" s="14">
        <v>0.47499999999999998</v>
      </c>
      <c r="F41" s="14">
        <v>5.0000000000000001E-3</v>
      </c>
      <c r="G41" s="14">
        <v>0</v>
      </c>
      <c r="H41" s="79">
        <v>0</v>
      </c>
      <c r="I41" s="14">
        <v>1</v>
      </c>
      <c r="J41" s="14">
        <v>0</v>
      </c>
    </row>
    <row r="42" spans="1:10" x14ac:dyDescent="0.25">
      <c r="A42" s="12" t="s">
        <v>37</v>
      </c>
      <c r="B42" s="13">
        <v>3.3000000000000002E-2</v>
      </c>
      <c r="C42" s="14">
        <v>0.78900000000000003</v>
      </c>
      <c r="D42" s="14">
        <v>0</v>
      </c>
      <c r="E42" s="14">
        <v>0.20899999999999999</v>
      </c>
      <c r="F42" s="14">
        <v>1E-3</v>
      </c>
      <c r="G42" s="14">
        <v>0</v>
      </c>
      <c r="H42" s="79">
        <v>0</v>
      </c>
      <c r="I42" s="14">
        <v>1</v>
      </c>
      <c r="J42" s="14">
        <v>0</v>
      </c>
    </row>
    <row r="43" spans="1:10" x14ac:dyDescent="0.25">
      <c r="A43" s="11"/>
      <c r="B43" s="12" t="s">
        <v>976</v>
      </c>
      <c r="C43" s="139" t="s">
        <v>983</v>
      </c>
      <c r="D43" s="139"/>
      <c r="E43" s="139"/>
      <c r="F43" s="139"/>
      <c r="G43" s="139" t="s">
        <v>989</v>
      </c>
      <c r="H43" s="139"/>
      <c r="I43" s="139"/>
      <c r="J43" s="139"/>
    </row>
    <row r="44" spans="1:10" x14ac:dyDescent="0.25">
      <c r="A44" s="12"/>
      <c r="B44" s="9" t="s">
        <v>25</v>
      </c>
      <c r="C44" s="9" t="s">
        <v>26</v>
      </c>
      <c r="D44" s="9" t="s">
        <v>38</v>
      </c>
      <c r="E44" s="9" t="s">
        <v>17</v>
      </c>
      <c r="F44" s="9" t="s">
        <v>27</v>
      </c>
      <c r="G44" s="9" t="s">
        <v>26</v>
      </c>
      <c r="H44" s="9" t="s">
        <v>38</v>
      </c>
      <c r="I44" s="9" t="s">
        <v>17</v>
      </c>
      <c r="J44" s="9" t="s">
        <v>27</v>
      </c>
    </row>
    <row r="45" spans="1:10" x14ac:dyDescent="0.25">
      <c r="A45" s="12" t="s">
        <v>29</v>
      </c>
      <c r="B45" s="13">
        <v>1</v>
      </c>
      <c r="C45" s="14">
        <v>0.99</v>
      </c>
      <c r="D45" s="14">
        <v>0</v>
      </c>
      <c r="E45" s="14">
        <v>0.01</v>
      </c>
      <c r="F45" s="14">
        <v>0</v>
      </c>
      <c r="G45" s="14">
        <v>0</v>
      </c>
      <c r="H45" s="79">
        <v>0</v>
      </c>
      <c r="I45" s="14">
        <v>1</v>
      </c>
      <c r="J45" s="14">
        <v>0</v>
      </c>
    </row>
    <row r="46" spans="1:10" x14ac:dyDescent="0.25">
      <c r="A46" s="12" t="s">
        <v>11</v>
      </c>
      <c r="B46" s="13">
        <v>1.8</v>
      </c>
      <c r="C46" s="14">
        <v>0</v>
      </c>
      <c r="D46" s="14">
        <v>0</v>
      </c>
      <c r="E46" s="14">
        <v>0</v>
      </c>
      <c r="F46" s="14">
        <v>1</v>
      </c>
      <c r="G46" s="14">
        <v>0</v>
      </c>
      <c r="H46" s="79">
        <v>0</v>
      </c>
      <c r="I46" s="14">
        <v>0</v>
      </c>
      <c r="J46" s="14">
        <v>1</v>
      </c>
    </row>
    <row r="47" spans="1:10" x14ac:dyDescent="0.25">
      <c r="A47" s="12" t="s">
        <v>13</v>
      </c>
      <c r="B47" s="13">
        <v>0.11</v>
      </c>
      <c r="C47" s="14">
        <v>0</v>
      </c>
      <c r="D47" s="14">
        <v>0</v>
      </c>
      <c r="E47" s="14">
        <v>1</v>
      </c>
      <c r="F47" s="14">
        <v>0</v>
      </c>
      <c r="G47" s="14">
        <v>0</v>
      </c>
      <c r="H47" s="79">
        <v>0</v>
      </c>
      <c r="I47" s="14">
        <v>1</v>
      </c>
      <c r="J47" s="14">
        <v>0</v>
      </c>
    </row>
    <row r="48" spans="1:10" x14ac:dyDescent="0.25">
      <c r="A48" s="12" t="s">
        <v>15</v>
      </c>
      <c r="B48" s="13">
        <v>17</v>
      </c>
      <c r="C48" s="14">
        <v>0</v>
      </c>
      <c r="D48" s="14">
        <v>0</v>
      </c>
      <c r="E48" s="14">
        <v>0</v>
      </c>
      <c r="F48" s="14">
        <v>1</v>
      </c>
      <c r="G48" s="14">
        <v>0</v>
      </c>
      <c r="H48" s="79">
        <v>0</v>
      </c>
      <c r="I48" s="14">
        <v>0</v>
      </c>
      <c r="J48" s="14">
        <v>1</v>
      </c>
    </row>
    <row r="49" spans="1:10" x14ac:dyDescent="0.25">
      <c r="A49" s="12" t="s">
        <v>30</v>
      </c>
      <c r="B49" s="13">
        <v>1.6000000000000001E-4</v>
      </c>
      <c r="C49" s="14">
        <v>4.0000000000000001E-3</v>
      </c>
      <c r="D49" s="14">
        <v>0</v>
      </c>
      <c r="E49" s="14">
        <v>0.98699999999999999</v>
      </c>
      <c r="F49" s="14">
        <v>8.9999999999999993E-3</v>
      </c>
      <c r="G49" s="14">
        <v>0</v>
      </c>
      <c r="H49" s="79">
        <v>0</v>
      </c>
      <c r="I49" s="14">
        <v>1</v>
      </c>
      <c r="J49" s="14">
        <v>0</v>
      </c>
    </row>
    <row r="50" spans="1:10" x14ac:dyDescent="0.25">
      <c r="A50" s="12" t="s">
        <v>31</v>
      </c>
      <c r="B50" s="13">
        <v>2.4000000000000001E-5</v>
      </c>
      <c r="C50" s="14">
        <v>2.5999999999999999E-2</v>
      </c>
      <c r="D50" s="14">
        <v>0</v>
      </c>
      <c r="E50" s="14">
        <v>0.96399999999999997</v>
      </c>
      <c r="F50" s="14">
        <v>8.9999999999999993E-3</v>
      </c>
      <c r="G50" s="14">
        <v>0</v>
      </c>
      <c r="H50" s="79">
        <v>0</v>
      </c>
      <c r="I50" s="14">
        <v>1</v>
      </c>
      <c r="J50" s="14">
        <v>0</v>
      </c>
    </row>
    <row r="51" spans="1:10" x14ac:dyDescent="0.25">
      <c r="A51" s="12" t="s">
        <v>32</v>
      </c>
      <c r="B51" s="13">
        <v>4.0000000000000003E-5</v>
      </c>
      <c r="C51" s="14">
        <v>1.6E-2</v>
      </c>
      <c r="D51" s="14">
        <v>0</v>
      </c>
      <c r="E51" s="14">
        <v>0.98299999999999998</v>
      </c>
      <c r="F51" s="14">
        <v>1E-3</v>
      </c>
      <c r="G51" s="14">
        <v>0</v>
      </c>
      <c r="H51" s="79">
        <v>0</v>
      </c>
      <c r="I51" s="14">
        <v>1</v>
      </c>
      <c r="J51" s="14">
        <v>0</v>
      </c>
    </row>
    <row r="52" spans="1:10" x14ac:dyDescent="0.25">
      <c r="A52" s="12" t="s">
        <v>33</v>
      </c>
      <c r="B52" s="13">
        <v>1.5E-3</v>
      </c>
      <c r="C52" s="14">
        <v>1.0999999999999999E-2</v>
      </c>
      <c r="D52" s="14">
        <v>0</v>
      </c>
      <c r="E52" s="14">
        <v>0.98799999999999999</v>
      </c>
      <c r="F52" s="14">
        <v>1E-3</v>
      </c>
      <c r="G52" s="14">
        <v>0</v>
      </c>
      <c r="H52" s="79">
        <v>0</v>
      </c>
      <c r="I52" s="14">
        <v>1</v>
      </c>
      <c r="J52" s="14">
        <v>0</v>
      </c>
    </row>
    <row r="53" spans="1:10" x14ac:dyDescent="0.25">
      <c r="A53" s="12" t="s">
        <v>34</v>
      </c>
      <c r="B53" s="13">
        <v>1.2E-2</v>
      </c>
      <c r="C53" s="14">
        <v>1E-3</v>
      </c>
      <c r="D53" s="14">
        <v>0</v>
      </c>
      <c r="E53" s="14">
        <v>0.998</v>
      </c>
      <c r="F53" s="14">
        <v>0</v>
      </c>
      <c r="G53" s="14">
        <v>0</v>
      </c>
      <c r="H53" s="79">
        <v>0</v>
      </c>
      <c r="I53" s="14">
        <v>1</v>
      </c>
      <c r="J53" s="14">
        <v>0</v>
      </c>
    </row>
    <row r="54" spans="1:10" x14ac:dyDescent="0.25">
      <c r="A54" s="12" t="s">
        <v>35</v>
      </c>
      <c r="B54" s="13">
        <v>1E-3</v>
      </c>
      <c r="C54" s="14">
        <v>1E-3</v>
      </c>
      <c r="D54" s="14">
        <v>0</v>
      </c>
      <c r="E54" s="14">
        <v>0.998</v>
      </c>
      <c r="F54" s="14">
        <v>1E-3</v>
      </c>
      <c r="G54" s="14">
        <v>0</v>
      </c>
      <c r="H54" s="79">
        <v>0</v>
      </c>
      <c r="I54" s="14">
        <v>1</v>
      </c>
      <c r="J54" s="14">
        <v>0</v>
      </c>
    </row>
    <row r="55" spans="1:10" x14ac:dyDescent="0.25">
      <c r="A55" s="12" t="s">
        <v>36</v>
      </c>
      <c r="B55" s="13">
        <v>1.5E-3</v>
      </c>
      <c r="C55" s="14">
        <v>0</v>
      </c>
      <c r="D55" s="14">
        <v>0</v>
      </c>
      <c r="E55" s="14">
        <v>0.995</v>
      </c>
      <c r="F55" s="14">
        <v>5.0000000000000001E-3</v>
      </c>
      <c r="G55" s="14">
        <v>0</v>
      </c>
      <c r="H55" s="79">
        <v>0</v>
      </c>
      <c r="I55" s="14">
        <v>1</v>
      </c>
      <c r="J55" s="14">
        <v>0</v>
      </c>
    </row>
    <row r="56" spans="1:10" x14ac:dyDescent="0.25">
      <c r="A56" s="12" t="s">
        <v>37</v>
      </c>
      <c r="B56" s="13">
        <v>2.9000000000000001E-2</v>
      </c>
      <c r="C56" s="14">
        <v>0</v>
      </c>
      <c r="D56" s="14">
        <v>0</v>
      </c>
      <c r="E56" s="14">
        <v>0.998</v>
      </c>
      <c r="F56" s="14">
        <v>1E-3</v>
      </c>
      <c r="G56" s="14">
        <v>0</v>
      </c>
      <c r="H56" s="79">
        <v>0</v>
      </c>
      <c r="I56" s="14">
        <v>1</v>
      </c>
      <c r="J56" s="14">
        <v>0</v>
      </c>
    </row>
    <row r="57" spans="1:10" x14ac:dyDescent="0.25">
      <c r="A57" s="11"/>
      <c r="B57" s="12" t="s">
        <v>977</v>
      </c>
      <c r="C57" s="139" t="s">
        <v>984</v>
      </c>
      <c r="D57" s="139"/>
      <c r="E57" s="139"/>
      <c r="F57" s="139"/>
      <c r="G57" s="139" t="s">
        <v>990</v>
      </c>
      <c r="H57" s="139"/>
      <c r="I57" s="139"/>
      <c r="J57" s="139"/>
    </row>
    <row r="58" spans="1:10" x14ac:dyDescent="0.25">
      <c r="A58" s="12"/>
      <c r="B58" s="9" t="s">
        <v>25</v>
      </c>
      <c r="C58" s="9" t="s">
        <v>26</v>
      </c>
      <c r="D58" s="9" t="s">
        <v>38</v>
      </c>
      <c r="E58" s="9" t="s">
        <v>17</v>
      </c>
      <c r="F58" s="9" t="s">
        <v>27</v>
      </c>
      <c r="G58" s="9" t="s">
        <v>26</v>
      </c>
      <c r="H58" s="9" t="s">
        <v>38</v>
      </c>
      <c r="I58" s="9" t="s">
        <v>17</v>
      </c>
      <c r="J58" s="9" t="s">
        <v>27</v>
      </c>
    </row>
    <row r="59" spans="1:10" x14ac:dyDescent="0.25">
      <c r="A59" s="12" t="s">
        <v>29</v>
      </c>
      <c r="B59" s="13">
        <v>1</v>
      </c>
      <c r="C59" s="14">
        <v>0.999</v>
      </c>
      <c r="D59" s="14">
        <v>0</v>
      </c>
      <c r="E59" s="14">
        <v>1E-3</v>
      </c>
      <c r="F59" s="14">
        <v>0</v>
      </c>
      <c r="G59" s="14">
        <v>0</v>
      </c>
      <c r="H59" s="79">
        <v>0</v>
      </c>
      <c r="I59" s="14">
        <v>1</v>
      </c>
      <c r="J59" s="14">
        <v>0</v>
      </c>
    </row>
    <row r="60" spans="1:10" x14ac:dyDescent="0.25">
      <c r="A60" s="12" t="s">
        <v>11</v>
      </c>
      <c r="B60" s="13">
        <v>2.8</v>
      </c>
      <c r="C60" s="14">
        <v>0</v>
      </c>
      <c r="D60" s="14">
        <v>0</v>
      </c>
      <c r="E60" s="14">
        <v>0</v>
      </c>
      <c r="F60" s="14">
        <v>1</v>
      </c>
      <c r="G60" s="14">
        <v>0</v>
      </c>
      <c r="H60" s="79">
        <v>0</v>
      </c>
      <c r="I60" s="14">
        <v>0</v>
      </c>
      <c r="J60" s="80">
        <v>1</v>
      </c>
    </row>
    <row r="61" spans="1:10" x14ac:dyDescent="0.25">
      <c r="A61" s="12" t="s">
        <v>13</v>
      </c>
      <c r="B61" s="13">
        <v>1.7</v>
      </c>
      <c r="C61" s="14">
        <v>1</v>
      </c>
      <c r="D61" s="14">
        <v>0</v>
      </c>
      <c r="E61" s="14">
        <v>0</v>
      </c>
      <c r="F61" s="14">
        <v>0</v>
      </c>
      <c r="G61" s="14">
        <v>0</v>
      </c>
      <c r="H61" s="79">
        <v>0</v>
      </c>
      <c r="I61" s="14">
        <v>1</v>
      </c>
      <c r="J61" s="14">
        <v>0</v>
      </c>
    </row>
    <row r="62" spans="1:10" x14ac:dyDescent="0.25">
      <c r="A62" s="12" t="s">
        <v>15</v>
      </c>
      <c r="B62" s="13">
        <v>12</v>
      </c>
      <c r="C62" s="14">
        <v>0</v>
      </c>
      <c r="D62" s="14">
        <v>0</v>
      </c>
      <c r="E62" s="14">
        <v>1E-3</v>
      </c>
      <c r="F62" s="14">
        <v>0.999</v>
      </c>
      <c r="G62" s="14">
        <v>0</v>
      </c>
      <c r="H62" s="79">
        <v>0</v>
      </c>
      <c r="I62" s="14">
        <v>0</v>
      </c>
      <c r="J62" s="80">
        <v>1</v>
      </c>
    </row>
    <row r="63" spans="1:10" x14ac:dyDescent="0.25">
      <c r="A63" s="12" t="s">
        <v>30</v>
      </c>
      <c r="B63" s="13">
        <v>0</v>
      </c>
      <c r="C63" s="14">
        <v>0</v>
      </c>
      <c r="D63" s="14">
        <v>0</v>
      </c>
      <c r="E63" s="14">
        <v>0</v>
      </c>
      <c r="F63" s="14">
        <v>0</v>
      </c>
      <c r="G63" s="14">
        <v>0</v>
      </c>
      <c r="H63" s="79">
        <v>0</v>
      </c>
      <c r="I63" s="14">
        <v>0</v>
      </c>
      <c r="J63" s="14">
        <v>0</v>
      </c>
    </row>
    <row r="64" spans="1:10" x14ac:dyDescent="0.25">
      <c r="A64" s="12" t="s">
        <v>31</v>
      </c>
      <c r="B64" s="13">
        <v>1.4999999999999999E-7</v>
      </c>
      <c r="C64" s="14">
        <v>0.26300000000000001</v>
      </c>
      <c r="D64" s="14">
        <v>0</v>
      </c>
      <c r="E64" s="14">
        <v>0.72799999999999998</v>
      </c>
      <c r="F64" s="14">
        <v>8.9999999999999993E-3</v>
      </c>
      <c r="G64" s="14">
        <v>0</v>
      </c>
      <c r="H64" s="79">
        <v>0</v>
      </c>
      <c r="I64" s="14">
        <v>1</v>
      </c>
      <c r="J64" s="14">
        <v>0</v>
      </c>
    </row>
    <row r="65" spans="1:10" x14ac:dyDescent="0.25">
      <c r="A65" s="12" t="s">
        <v>32</v>
      </c>
      <c r="B65" s="13">
        <v>1.5E-5</v>
      </c>
      <c r="C65" s="14">
        <v>0.99299999999999999</v>
      </c>
      <c r="D65" s="14">
        <v>0</v>
      </c>
      <c r="E65" s="14">
        <v>6.0000000000000001E-3</v>
      </c>
      <c r="F65" s="14">
        <v>1E-3</v>
      </c>
      <c r="G65" s="14">
        <v>0</v>
      </c>
      <c r="H65" s="79">
        <v>0</v>
      </c>
      <c r="I65" s="14">
        <v>1</v>
      </c>
      <c r="J65" s="14">
        <v>0</v>
      </c>
    </row>
    <row r="66" spans="1:10" x14ac:dyDescent="0.25">
      <c r="A66" s="12" t="s">
        <v>33</v>
      </c>
      <c r="B66" s="13">
        <v>1.6000000000000001E-4</v>
      </c>
      <c r="C66" s="14">
        <v>0.995</v>
      </c>
      <c r="D66" s="14">
        <v>0</v>
      </c>
      <c r="E66" s="14">
        <v>3.0000000000000001E-3</v>
      </c>
      <c r="F66" s="14">
        <v>1E-3</v>
      </c>
      <c r="G66" s="14">
        <v>0</v>
      </c>
      <c r="H66" s="79">
        <v>0</v>
      </c>
      <c r="I66" s="14">
        <v>1</v>
      </c>
      <c r="J66" s="14">
        <v>0</v>
      </c>
    </row>
    <row r="67" spans="1:10" x14ac:dyDescent="0.25">
      <c r="A67" s="12" t="s">
        <v>34</v>
      </c>
      <c r="B67" s="13">
        <v>2.2000000000000001E-4</v>
      </c>
      <c r="C67" s="14">
        <v>0.97399999999999998</v>
      </c>
      <c r="D67" s="14">
        <v>0</v>
      </c>
      <c r="E67" s="14">
        <v>2.5000000000000001E-2</v>
      </c>
      <c r="F67" s="14">
        <v>0</v>
      </c>
      <c r="G67" s="14">
        <v>0</v>
      </c>
      <c r="H67" s="79">
        <v>0</v>
      </c>
      <c r="I67" s="14">
        <v>1</v>
      </c>
      <c r="J67" s="14">
        <v>0</v>
      </c>
    </row>
    <row r="68" spans="1:10" x14ac:dyDescent="0.25">
      <c r="A68" s="12" t="s">
        <v>35</v>
      </c>
      <c r="B68" s="13">
        <v>6.9999999999999994E-5</v>
      </c>
      <c r="C68" s="14">
        <v>0.99099999999999999</v>
      </c>
      <c r="D68" s="14">
        <v>0</v>
      </c>
      <c r="E68" s="14">
        <v>7.0000000000000001E-3</v>
      </c>
      <c r="F68" s="14">
        <v>2E-3</v>
      </c>
      <c r="G68" s="14">
        <v>0</v>
      </c>
      <c r="H68" s="79">
        <v>0</v>
      </c>
      <c r="I68" s="14">
        <v>1</v>
      </c>
      <c r="J68" s="14">
        <v>0</v>
      </c>
    </row>
    <row r="69" spans="1:10" x14ac:dyDescent="0.25">
      <c r="A69" s="12" t="s">
        <v>36</v>
      </c>
      <c r="B69" s="13">
        <v>7.8999999999999996E-5</v>
      </c>
      <c r="C69" s="14">
        <v>0.94699999999999995</v>
      </c>
      <c r="D69" s="14">
        <v>0</v>
      </c>
      <c r="E69" s="14">
        <v>4.8000000000000001E-2</v>
      </c>
      <c r="F69" s="14">
        <v>5.0000000000000001E-3</v>
      </c>
      <c r="G69" s="14">
        <v>0</v>
      </c>
      <c r="H69" s="79">
        <v>0</v>
      </c>
      <c r="I69" s="14">
        <v>1</v>
      </c>
      <c r="J69" s="14">
        <v>0</v>
      </c>
    </row>
    <row r="70" spans="1:10" x14ac:dyDescent="0.25">
      <c r="A70" s="12" t="s">
        <v>37</v>
      </c>
      <c r="B70" s="13">
        <v>2.3999999999999998E-3</v>
      </c>
      <c r="C70" s="14">
        <v>0.997</v>
      </c>
      <c r="D70" s="14">
        <v>0</v>
      </c>
      <c r="E70" s="14">
        <v>2E-3</v>
      </c>
      <c r="F70" s="14">
        <v>1E-3</v>
      </c>
      <c r="G70" s="14">
        <v>0</v>
      </c>
      <c r="H70" s="79">
        <v>0</v>
      </c>
      <c r="I70" s="14">
        <v>1</v>
      </c>
      <c r="J70" s="14">
        <v>0</v>
      </c>
    </row>
    <row r="71" spans="1:10" x14ac:dyDescent="0.25">
      <c r="A71" s="11"/>
      <c r="B71" s="12" t="s">
        <v>978</v>
      </c>
      <c r="C71" s="139" t="s">
        <v>985</v>
      </c>
      <c r="D71" s="139"/>
      <c r="E71" s="139"/>
      <c r="F71" s="139"/>
      <c r="G71" s="139" t="s">
        <v>991</v>
      </c>
      <c r="H71" s="139"/>
      <c r="I71" s="139"/>
      <c r="J71" s="139"/>
    </row>
    <row r="72" spans="1:10" x14ac:dyDescent="0.25">
      <c r="A72" s="12"/>
      <c r="B72" s="9" t="s">
        <v>25</v>
      </c>
      <c r="C72" s="9" t="s">
        <v>26</v>
      </c>
      <c r="D72" s="9" t="s">
        <v>38</v>
      </c>
      <c r="E72" s="9" t="s">
        <v>17</v>
      </c>
      <c r="F72" s="9" t="s">
        <v>27</v>
      </c>
      <c r="G72" s="9" t="s">
        <v>26</v>
      </c>
      <c r="H72" s="9" t="s">
        <v>38</v>
      </c>
      <c r="I72" s="9" t="s">
        <v>17</v>
      </c>
      <c r="J72" s="9" t="s">
        <v>27</v>
      </c>
    </row>
    <row r="73" spans="1:10" x14ac:dyDescent="0.25">
      <c r="A73" s="12" t="s">
        <v>29</v>
      </c>
      <c r="B73" s="13">
        <v>1.9</v>
      </c>
      <c r="C73" s="14">
        <v>0.62</v>
      </c>
      <c r="D73" s="14">
        <v>0.38</v>
      </c>
      <c r="E73" s="14">
        <v>0</v>
      </c>
      <c r="F73" s="14">
        <v>0</v>
      </c>
      <c r="G73" s="14">
        <v>0</v>
      </c>
      <c r="H73" s="14">
        <v>1</v>
      </c>
      <c r="I73" s="14">
        <v>0</v>
      </c>
      <c r="J73" s="14">
        <v>0</v>
      </c>
    </row>
    <row r="74" spans="1:10" x14ac:dyDescent="0.25">
      <c r="A74" s="12" t="s">
        <v>11</v>
      </c>
      <c r="B74" s="13">
        <v>8.9</v>
      </c>
      <c r="C74" s="14">
        <v>9.4E-2</v>
      </c>
      <c r="D74" s="14">
        <v>0.69699999999999995</v>
      </c>
      <c r="E74" s="14">
        <v>0</v>
      </c>
      <c r="F74" s="14">
        <v>0.20799999999999999</v>
      </c>
      <c r="G74" s="14">
        <v>0</v>
      </c>
      <c r="H74" s="14">
        <v>0.995</v>
      </c>
      <c r="I74" s="14">
        <v>0</v>
      </c>
      <c r="J74" s="14">
        <v>5.0000000000000001E-3</v>
      </c>
    </row>
    <row r="75" spans="1:10" x14ac:dyDescent="0.25">
      <c r="A75" s="12" t="s">
        <v>13</v>
      </c>
      <c r="B75" s="13">
        <v>2.9</v>
      </c>
      <c r="C75" s="14">
        <v>0.25</v>
      </c>
      <c r="D75" s="14">
        <v>0.75</v>
      </c>
      <c r="E75" s="14">
        <v>0</v>
      </c>
      <c r="F75" s="14">
        <v>0</v>
      </c>
      <c r="G75" s="14">
        <v>0</v>
      </c>
      <c r="H75" s="14">
        <v>1</v>
      </c>
      <c r="I75" s="14">
        <v>0</v>
      </c>
      <c r="J75" s="14">
        <v>0</v>
      </c>
    </row>
    <row r="76" spans="1:10" x14ac:dyDescent="0.25">
      <c r="A76" s="12" t="s">
        <v>15</v>
      </c>
      <c r="B76" s="13">
        <v>62</v>
      </c>
      <c r="C76" s="14">
        <v>0.14899999999999999</v>
      </c>
      <c r="D76" s="14">
        <v>0.35</v>
      </c>
      <c r="E76" s="14">
        <v>0</v>
      </c>
      <c r="F76" s="14">
        <v>0.501</v>
      </c>
      <c r="G76" s="14">
        <v>0</v>
      </c>
      <c r="H76" s="14">
        <v>0.58799999999999997</v>
      </c>
      <c r="I76" s="14">
        <v>0</v>
      </c>
      <c r="J76" s="14">
        <v>0.41199999999999998</v>
      </c>
    </row>
    <row r="77" spans="1:10" x14ac:dyDescent="0.25">
      <c r="A77" s="12" t="s">
        <v>30</v>
      </c>
      <c r="B77" s="13">
        <v>3.8000000000000002E-4</v>
      </c>
      <c r="C77" s="14">
        <v>0.9</v>
      </c>
      <c r="D77" s="14">
        <v>0.1</v>
      </c>
      <c r="E77" s="14">
        <v>0</v>
      </c>
      <c r="F77" s="14">
        <v>0</v>
      </c>
      <c r="G77" s="14">
        <v>0</v>
      </c>
      <c r="H77" s="14">
        <v>1</v>
      </c>
      <c r="I77" s="14">
        <v>0</v>
      </c>
      <c r="J77" s="14">
        <v>0</v>
      </c>
    </row>
    <row r="78" spans="1:10" x14ac:dyDescent="0.25">
      <c r="A78" s="12" t="s">
        <v>31</v>
      </c>
      <c r="B78" s="13">
        <v>0</v>
      </c>
      <c r="C78" s="14">
        <v>0</v>
      </c>
      <c r="D78" s="14">
        <v>0</v>
      </c>
      <c r="E78" s="14">
        <v>0</v>
      </c>
      <c r="F78" s="14">
        <v>0</v>
      </c>
      <c r="G78" s="14">
        <v>0</v>
      </c>
      <c r="H78" s="14">
        <v>0</v>
      </c>
      <c r="I78" s="14">
        <v>0</v>
      </c>
      <c r="J78" s="14">
        <v>0</v>
      </c>
    </row>
    <row r="79" spans="1:10" x14ac:dyDescent="0.25">
      <c r="A79" s="12" t="s">
        <v>32</v>
      </c>
      <c r="B79" s="13">
        <v>3.6000000000000001E-5</v>
      </c>
      <c r="C79" s="14">
        <v>0.30099999999999999</v>
      </c>
      <c r="D79" s="14">
        <v>0.69899999999999995</v>
      </c>
      <c r="E79" s="14">
        <v>0</v>
      </c>
      <c r="F79" s="14">
        <v>0</v>
      </c>
      <c r="G79" s="14">
        <v>0</v>
      </c>
      <c r="H79" s="14">
        <v>1</v>
      </c>
      <c r="I79" s="14">
        <v>0</v>
      </c>
      <c r="J79" s="14">
        <v>0</v>
      </c>
    </row>
    <row r="80" spans="1:10" x14ac:dyDescent="0.25">
      <c r="A80" s="12" t="s">
        <v>33</v>
      </c>
      <c r="B80" s="13">
        <v>1E-3</v>
      </c>
      <c r="C80" s="14">
        <v>0.32800000000000001</v>
      </c>
      <c r="D80" s="14">
        <v>0.67200000000000004</v>
      </c>
      <c r="E80" s="14">
        <v>0</v>
      </c>
      <c r="F80" s="14">
        <v>0</v>
      </c>
      <c r="G80" s="14">
        <v>0</v>
      </c>
      <c r="H80" s="14">
        <v>1</v>
      </c>
      <c r="I80" s="14">
        <v>0</v>
      </c>
      <c r="J80" s="14">
        <v>0</v>
      </c>
    </row>
    <row r="81" spans="1:11" x14ac:dyDescent="0.25">
      <c r="A81" s="12" t="s">
        <v>34</v>
      </c>
      <c r="B81" s="13">
        <v>1.0999999999999999E-2</v>
      </c>
      <c r="C81" s="14">
        <v>0.60499999999999998</v>
      </c>
      <c r="D81" s="14">
        <v>0.39500000000000002</v>
      </c>
      <c r="E81" s="14">
        <v>0</v>
      </c>
      <c r="F81" s="14">
        <v>0</v>
      </c>
      <c r="G81" s="14">
        <v>0</v>
      </c>
      <c r="H81" s="14">
        <v>1</v>
      </c>
      <c r="I81" s="14">
        <v>0</v>
      </c>
      <c r="J81" s="14">
        <v>0</v>
      </c>
    </row>
    <row r="82" spans="1:11" x14ac:dyDescent="0.25">
      <c r="A82" s="12" t="s">
        <v>35</v>
      </c>
      <c r="B82" s="13">
        <v>1.1000000000000001E-3</v>
      </c>
      <c r="C82" s="14">
        <v>5.7000000000000002E-2</v>
      </c>
      <c r="D82" s="14">
        <v>0.94299999999999995</v>
      </c>
      <c r="E82" s="14">
        <v>0</v>
      </c>
      <c r="F82" s="14">
        <v>0</v>
      </c>
      <c r="G82" s="14">
        <v>0</v>
      </c>
      <c r="H82" s="14">
        <v>1</v>
      </c>
      <c r="I82" s="14">
        <v>0</v>
      </c>
      <c r="J82" s="14">
        <v>0</v>
      </c>
    </row>
    <row r="83" spans="1:11" x14ac:dyDescent="0.25">
      <c r="A83" s="12" t="s">
        <v>36</v>
      </c>
      <c r="B83" s="13">
        <v>7.2999999999999996E-4</v>
      </c>
      <c r="C83" s="14">
        <v>0.40400000000000003</v>
      </c>
      <c r="D83" s="14">
        <v>0.59599999999999997</v>
      </c>
      <c r="E83" s="14">
        <v>0</v>
      </c>
      <c r="F83" s="14">
        <v>0</v>
      </c>
      <c r="G83" s="14">
        <v>0</v>
      </c>
      <c r="H83" s="14">
        <v>1</v>
      </c>
      <c r="I83" s="14">
        <v>0</v>
      </c>
      <c r="J83" s="14">
        <v>0</v>
      </c>
    </row>
    <row r="84" spans="1:11" x14ac:dyDescent="0.25">
      <c r="A84" s="12" t="s">
        <v>37</v>
      </c>
      <c r="B84" s="13">
        <v>6.3E-2</v>
      </c>
      <c r="C84" s="14">
        <v>0.42599999999999999</v>
      </c>
      <c r="D84" s="14">
        <v>0.57399999999999995</v>
      </c>
      <c r="E84" s="14">
        <v>0</v>
      </c>
      <c r="F84" s="14">
        <v>0</v>
      </c>
      <c r="G84" s="14">
        <v>0</v>
      </c>
      <c r="H84" s="14">
        <v>1</v>
      </c>
      <c r="I84" s="14">
        <v>0</v>
      </c>
      <c r="J84" s="14">
        <v>0</v>
      </c>
    </row>
    <row r="85" spans="1:11" x14ac:dyDescent="0.25">
      <c r="A85" s="11"/>
      <c r="B85" s="12" t="s">
        <v>979</v>
      </c>
      <c r="C85" s="139" t="s">
        <v>979</v>
      </c>
      <c r="D85" s="139"/>
      <c r="E85" s="139"/>
      <c r="F85" s="139"/>
      <c r="G85" s="140"/>
      <c r="H85" s="140"/>
      <c r="I85" s="140"/>
      <c r="J85" s="141"/>
      <c r="K85" s="54"/>
    </row>
    <row r="86" spans="1:11" x14ac:dyDescent="0.25">
      <c r="A86" s="12"/>
      <c r="B86" s="9" t="s">
        <v>25</v>
      </c>
      <c r="C86" s="9" t="s">
        <v>26</v>
      </c>
      <c r="D86" s="9" t="s">
        <v>38</v>
      </c>
      <c r="E86" s="9" t="s">
        <v>17</v>
      </c>
      <c r="F86" s="9" t="s">
        <v>27</v>
      </c>
      <c r="G86" s="52"/>
      <c r="H86" s="52"/>
      <c r="I86" s="52"/>
      <c r="J86" s="52"/>
    </row>
    <row r="87" spans="1:11" x14ac:dyDescent="0.25">
      <c r="A87" s="12" t="s">
        <v>29</v>
      </c>
      <c r="B87" s="13">
        <v>1</v>
      </c>
      <c r="C87" s="14">
        <v>0.999</v>
      </c>
      <c r="D87" s="14">
        <v>0</v>
      </c>
      <c r="E87" s="14">
        <v>1E-3</v>
      </c>
      <c r="F87" s="14">
        <v>0</v>
      </c>
      <c r="G87" s="53"/>
      <c r="H87" s="53"/>
      <c r="I87" s="53"/>
      <c r="J87" s="53"/>
    </row>
    <row r="88" spans="1:11" x14ac:dyDescent="0.25">
      <c r="A88" s="12" t="s">
        <v>11</v>
      </c>
      <c r="B88" s="13">
        <v>0</v>
      </c>
      <c r="C88" s="14">
        <v>0</v>
      </c>
      <c r="D88" s="14">
        <v>0</v>
      </c>
      <c r="E88" s="14">
        <v>0</v>
      </c>
      <c r="F88" s="14">
        <v>0</v>
      </c>
      <c r="G88" s="53"/>
      <c r="H88" s="53"/>
      <c r="I88" s="53"/>
      <c r="J88" s="53"/>
    </row>
    <row r="89" spans="1:11" x14ac:dyDescent="0.25">
      <c r="A89" s="12" t="s">
        <v>13</v>
      </c>
      <c r="B89" s="13">
        <v>0</v>
      </c>
      <c r="C89" s="14">
        <v>0</v>
      </c>
      <c r="D89" s="14">
        <v>0</v>
      </c>
      <c r="E89" s="14">
        <v>0</v>
      </c>
      <c r="F89" s="14">
        <v>0</v>
      </c>
      <c r="G89" s="53"/>
      <c r="H89" s="53"/>
      <c r="I89" s="53"/>
      <c r="J89" s="53"/>
    </row>
    <row r="90" spans="1:11" x14ac:dyDescent="0.25">
      <c r="A90" s="12" t="s">
        <v>15</v>
      </c>
      <c r="B90" s="13">
        <v>0</v>
      </c>
      <c r="C90" s="14">
        <v>0</v>
      </c>
      <c r="D90" s="14">
        <v>0</v>
      </c>
      <c r="E90" s="14">
        <v>0</v>
      </c>
      <c r="F90" s="14">
        <v>0</v>
      </c>
      <c r="G90" s="53"/>
      <c r="H90" s="53"/>
      <c r="I90" s="53"/>
      <c r="J90" s="53"/>
    </row>
    <row r="91" spans="1:11" x14ac:dyDescent="0.25">
      <c r="A91" s="12" t="s">
        <v>30</v>
      </c>
      <c r="B91" s="13">
        <v>5.5999999999999999E-5</v>
      </c>
      <c r="C91" s="14">
        <v>0.99099999999999999</v>
      </c>
      <c r="D91" s="14">
        <v>0</v>
      </c>
      <c r="E91" s="14">
        <v>8.9999999999999993E-3</v>
      </c>
      <c r="F91" s="14">
        <v>0</v>
      </c>
      <c r="G91" s="53"/>
      <c r="H91" s="53"/>
      <c r="I91" s="53"/>
      <c r="J91" s="53"/>
    </row>
    <row r="92" spans="1:11" x14ac:dyDescent="0.25">
      <c r="A92" s="12" t="s">
        <v>31</v>
      </c>
      <c r="B92" s="13">
        <v>7.4000000000000001E-7</v>
      </c>
      <c r="C92" s="14">
        <v>0.26600000000000001</v>
      </c>
      <c r="D92" s="14">
        <v>0</v>
      </c>
      <c r="E92" s="14">
        <v>0.73399999999999999</v>
      </c>
      <c r="F92" s="14">
        <v>0</v>
      </c>
      <c r="G92" s="53"/>
      <c r="H92" s="53"/>
      <c r="I92" s="53"/>
      <c r="J92" s="53"/>
    </row>
    <row r="93" spans="1:11" x14ac:dyDescent="0.25">
      <c r="A93" s="12" t="s">
        <v>32</v>
      </c>
      <c r="B93" s="13">
        <v>2.0000000000000001E-4</v>
      </c>
      <c r="C93" s="14">
        <v>0.99399999999999999</v>
      </c>
      <c r="D93" s="14">
        <v>0</v>
      </c>
      <c r="E93" s="14">
        <v>6.0000000000000001E-3</v>
      </c>
      <c r="F93" s="14">
        <v>0</v>
      </c>
      <c r="G93" s="53"/>
      <c r="H93" s="53"/>
      <c r="I93" s="53"/>
      <c r="J93" s="53"/>
    </row>
    <row r="94" spans="1:11" x14ac:dyDescent="0.25">
      <c r="A94" s="12" t="s">
        <v>33</v>
      </c>
      <c r="B94" s="13">
        <v>1.1000000000000001E-3</v>
      </c>
      <c r="C94" s="14">
        <v>0.997</v>
      </c>
      <c r="D94" s="14">
        <v>0</v>
      </c>
      <c r="E94" s="14">
        <v>3.0000000000000001E-3</v>
      </c>
      <c r="F94" s="14">
        <v>0</v>
      </c>
      <c r="G94" s="53"/>
      <c r="H94" s="53"/>
      <c r="I94" s="53"/>
      <c r="J94" s="53"/>
    </row>
    <row r="95" spans="1:11" x14ac:dyDescent="0.25">
      <c r="A95" s="12" t="s">
        <v>34</v>
      </c>
      <c r="B95" s="13">
        <v>3.8000000000000002E-4</v>
      </c>
      <c r="C95" s="14">
        <v>0.97499999999999998</v>
      </c>
      <c r="D95" s="14">
        <v>0</v>
      </c>
      <c r="E95" s="14">
        <v>2.5000000000000001E-2</v>
      </c>
      <c r="F95" s="14">
        <v>0</v>
      </c>
      <c r="G95" s="53"/>
      <c r="H95" s="53"/>
      <c r="I95" s="53"/>
      <c r="J95" s="53"/>
    </row>
    <row r="96" spans="1:11" x14ac:dyDescent="0.25">
      <c r="A96" s="12" t="s">
        <v>35</v>
      </c>
      <c r="B96" s="13">
        <v>2.1000000000000001E-4</v>
      </c>
      <c r="C96" s="14">
        <v>0.99299999999999999</v>
      </c>
      <c r="D96" s="14">
        <v>0</v>
      </c>
      <c r="E96" s="14">
        <v>7.0000000000000001E-3</v>
      </c>
      <c r="F96" s="14">
        <v>0</v>
      </c>
      <c r="G96" s="53"/>
      <c r="H96" s="53"/>
      <c r="I96" s="53"/>
      <c r="J96" s="53"/>
    </row>
    <row r="97" spans="1:10" x14ac:dyDescent="0.25">
      <c r="A97" s="12" t="s">
        <v>36</v>
      </c>
      <c r="B97" s="13">
        <v>1E-4</v>
      </c>
      <c r="C97" s="14">
        <v>0.95199999999999996</v>
      </c>
      <c r="D97" s="14">
        <v>0</v>
      </c>
      <c r="E97" s="14">
        <v>4.8000000000000001E-2</v>
      </c>
      <c r="F97" s="14">
        <v>0</v>
      </c>
      <c r="G97" s="53"/>
      <c r="H97" s="53"/>
      <c r="I97" s="53"/>
      <c r="J97" s="53"/>
    </row>
    <row r="98" spans="1:10" x14ac:dyDescent="0.25">
      <c r="A98" s="12" t="s">
        <v>37</v>
      </c>
      <c r="B98" s="13">
        <v>1.9E-3</v>
      </c>
      <c r="C98" s="14">
        <v>1</v>
      </c>
      <c r="D98" s="14">
        <v>0</v>
      </c>
      <c r="E98" s="14">
        <v>0</v>
      </c>
      <c r="F98" s="14">
        <v>0</v>
      </c>
      <c r="G98" s="53"/>
      <c r="H98" s="53"/>
      <c r="I98" s="53"/>
      <c r="J98" s="53"/>
    </row>
  </sheetData>
  <mergeCells count="14">
    <mergeCell ref="C43:F43"/>
    <mergeCell ref="G43:J43"/>
    <mergeCell ref="G85:J85"/>
    <mergeCell ref="C85:F85"/>
    <mergeCell ref="C71:F71"/>
    <mergeCell ref="G71:J71"/>
    <mergeCell ref="G57:J57"/>
    <mergeCell ref="C57:F57"/>
    <mergeCell ref="C1:F1"/>
    <mergeCell ref="G1:J1"/>
    <mergeCell ref="C15:F15"/>
    <mergeCell ref="G15:J15"/>
    <mergeCell ref="C29:F29"/>
    <mergeCell ref="G29:J2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I68"/>
  <sheetViews>
    <sheetView topLeftCell="A49" workbookViewId="0">
      <selection activeCell="E70" sqref="E70"/>
    </sheetView>
  </sheetViews>
  <sheetFormatPr defaultRowHeight="15" x14ac:dyDescent="0.25"/>
  <cols>
    <col min="1" max="1" width="16" bestFit="1" customWidth="1"/>
    <col min="2" max="2" width="7.5703125" bestFit="1" customWidth="1"/>
    <col min="3" max="4" width="9.5703125" bestFit="1" customWidth="1"/>
    <col min="5" max="5" width="8.7109375" bestFit="1" customWidth="1"/>
    <col min="6" max="6" width="9.5703125" customWidth="1"/>
    <col min="7" max="7" width="9.5703125" bestFit="1" customWidth="1"/>
  </cols>
  <sheetData>
    <row r="1" spans="1:7" x14ac:dyDescent="0.25">
      <c r="A1" s="142"/>
      <c r="B1" s="136" t="s">
        <v>40</v>
      </c>
      <c r="C1" s="15" t="s">
        <v>63</v>
      </c>
      <c r="D1" s="15" t="s">
        <v>63</v>
      </c>
      <c r="E1" s="15" t="s">
        <v>180</v>
      </c>
      <c r="F1" s="15" t="s">
        <v>65</v>
      </c>
      <c r="G1" s="15" t="s">
        <v>181</v>
      </c>
    </row>
    <row r="2" spans="1:7" x14ac:dyDescent="0.25">
      <c r="A2" s="142"/>
      <c r="B2" s="136"/>
      <c r="C2" s="15" t="s">
        <v>64</v>
      </c>
      <c r="D2" s="15" t="s">
        <v>178</v>
      </c>
      <c r="E2" s="15" t="s">
        <v>179</v>
      </c>
      <c r="F2" s="15" t="s">
        <v>66</v>
      </c>
      <c r="G2" s="15" t="s">
        <v>182</v>
      </c>
    </row>
    <row r="3" spans="1:7" x14ac:dyDescent="0.25">
      <c r="A3" s="24" t="s">
        <v>67</v>
      </c>
      <c r="B3" s="17"/>
      <c r="C3" s="19"/>
      <c r="D3" s="19"/>
      <c r="E3" s="19"/>
      <c r="F3" s="19"/>
      <c r="G3" s="19"/>
    </row>
    <row r="4" spans="1:7" ht="15.75" x14ac:dyDescent="0.25">
      <c r="A4" s="17" t="s">
        <v>68</v>
      </c>
      <c r="B4" s="17" t="s">
        <v>69</v>
      </c>
      <c r="C4" s="25">
        <v>387500</v>
      </c>
      <c r="D4" s="25">
        <v>440000</v>
      </c>
      <c r="E4" s="25">
        <v>109500</v>
      </c>
      <c r="F4" s="25">
        <v>5998</v>
      </c>
      <c r="G4" s="25">
        <v>300000</v>
      </c>
    </row>
    <row r="5" spans="1:7" x14ac:dyDescent="0.25">
      <c r="A5" s="17" t="s">
        <v>70</v>
      </c>
      <c r="B5" s="17" t="s">
        <v>71</v>
      </c>
      <c r="C5" s="19">
        <v>20</v>
      </c>
      <c r="D5" s="19">
        <v>20</v>
      </c>
      <c r="E5" s="19">
        <v>20</v>
      </c>
      <c r="F5" s="19">
        <v>20</v>
      </c>
      <c r="G5" s="19">
        <v>20</v>
      </c>
    </row>
    <row r="6" spans="1:7" x14ac:dyDescent="0.25">
      <c r="A6" s="17"/>
      <c r="B6" s="17"/>
      <c r="C6" s="19"/>
      <c r="D6" s="19"/>
      <c r="E6" s="19"/>
      <c r="F6" s="19"/>
      <c r="G6" s="19"/>
    </row>
    <row r="7" spans="1:7" x14ac:dyDescent="0.25">
      <c r="A7" s="24" t="s">
        <v>3</v>
      </c>
      <c r="B7" s="17"/>
      <c r="C7" s="19"/>
      <c r="D7" s="19"/>
      <c r="E7" s="19"/>
      <c r="F7" s="19"/>
      <c r="G7" s="19"/>
    </row>
    <row r="8" spans="1:7" x14ac:dyDescent="0.25">
      <c r="A8" s="142" t="s">
        <v>72</v>
      </c>
      <c r="B8" s="142"/>
      <c r="C8" s="19" t="s">
        <v>64</v>
      </c>
      <c r="D8" s="19" t="s">
        <v>44</v>
      </c>
      <c r="E8" s="19" t="s">
        <v>46</v>
      </c>
      <c r="F8" s="19" t="s">
        <v>47</v>
      </c>
      <c r="G8" s="19" t="s">
        <v>41</v>
      </c>
    </row>
    <row r="9" spans="1:7" x14ac:dyDescent="0.25">
      <c r="A9" s="142"/>
      <c r="B9" s="142"/>
      <c r="C9" s="19" t="s">
        <v>73</v>
      </c>
      <c r="D9" s="19" t="s">
        <v>45</v>
      </c>
      <c r="E9" s="19" t="s">
        <v>45</v>
      </c>
      <c r="F9" s="19" t="s">
        <v>49</v>
      </c>
      <c r="G9" s="19" t="s">
        <v>43</v>
      </c>
    </row>
    <row r="10" spans="1:7" x14ac:dyDescent="0.25">
      <c r="A10" s="17" t="s">
        <v>74</v>
      </c>
      <c r="B10" s="17" t="s">
        <v>75</v>
      </c>
      <c r="C10" s="19">
        <v>1</v>
      </c>
      <c r="D10" s="19">
        <v>1</v>
      </c>
      <c r="E10" s="19">
        <v>1</v>
      </c>
      <c r="F10" s="19">
        <v>1</v>
      </c>
      <c r="G10" s="19">
        <v>1</v>
      </c>
    </row>
    <row r="11" spans="1:7" x14ac:dyDescent="0.25">
      <c r="A11" s="17" t="s">
        <v>76</v>
      </c>
      <c r="B11" s="17" t="s">
        <v>77</v>
      </c>
      <c r="C11" s="19">
        <v>1540</v>
      </c>
      <c r="D11" s="19">
        <v>7350</v>
      </c>
      <c r="E11" s="19">
        <v>9740</v>
      </c>
      <c r="F11" s="19">
        <v>3700</v>
      </c>
      <c r="G11" s="19">
        <v>1540</v>
      </c>
    </row>
    <row r="12" spans="1:7" ht="15.75" x14ac:dyDescent="0.25">
      <c r="A12" s="17" t="s">
        <v>78</v>
      </c>
      <c r="B12" s="17" t="s">
        <v>79</v>
      </c>
      <c r="C12" s="19">
        <v>0</v>
      </c>
      <c r="D12" s="19">
        <v>0</v>
      </c>
      <c r="E12" s="19">
        <v>0</v>
      </c>
      <c r="F12" s="19">
        <v>0</v>
      </c>
      <c r="G12" s="19">
        <v>1E-3</v>
      </c>
    </row>
    <row r="13" spans="1:7" ht="15.75" x14ac:dyDescent="0.25">
      <c r="A13" s="17" t="s">
        <v>80</v>
      </c>
      <c r="B13" s="17" t="s">
        <v>79</v>
      </c>
      <c r="C13" s="19">
        <v>0</v>
      </c>
      <c r="D13" s="19">
        <v>0</v>
      </c>
      <c r="E13" s="19">
        <v>0</v>
      </c>
      <c r="F13" s="19">
        <v>0</v>
      </c>
      <c r="G13" s="19">
        <v>5.7000000000000002E-3</v>
      </c>
    </row>
    <row r="14" spans="1:7" ht="15.75" x14ac:dyDescent="0.25">
      <c r="A14" s="17" t="s">
        <v>81</v>
      </c>
      <c r="B14" s="17" t="s">
        <v>79</v>
      </c>
      <c r="C14" s="19">
        <v>0</v>
      </c>
      <c r="D14" s="19">
        <v>0</v>
      </c>
      <c r="E14" s="19">
        <v>0</v>
      </c>
      <c r="F14" s="19">
        <v>0</v>
      </c>
      <c r="G14" s="19">
        <v>0</v>
      </c>
    </row>
    <row r="15" spans="1:7" ht="15.75" x14ac:dyDescent="0.25">
      <c r="A15" s="17" t="s">
        <v>82</v>
      </c>
      <c r="B15" s="17" t="s">
        <v>79</v>
      </c>
      <c r="C15" s="19">
        <v>0</v>
      </c>
      <c r="D15" s="26">
        <v>2.3256000000000001</v>
      </c>
      <c r="E15" s="26">
        <v>0</v>
      </c>
      <c r="F15" s="26">
        <v>10.647500000000001</v>
      </c>
      <c r="G15" s="27">
        <v>2.9999999999999997E-4</v>
      </c>
    </row>
    <row r="16" spans="1:7" ht="15.75" x14ac:dyDescent="0.25">
      <c r="A16" s="17" t="s">
        <v>83</v>
      </c>
      <c r="B16" s="17" t="s">
        <v>79</v>
      </c>
      <c r="C16" s="19">
        <v>0</v>
      </c>
      <c r="D16" s="19">
        <v>0.85460000000000003</v>
      </c>
      <c r="E16" s="19">
        <v>0</v>
      </c>
      <c r="F16" s="19">
        <v>0</v>
      </c>
      <c r="G16" s="19">
        <v>0</v>
      </c>
    </row>
    <row r="17" spans="1:7" ht="15.75" x14ac:dyDescent="0.25">
      <c r="A17" s="17" t="s">
        <v>7</v>
      </c>
      <c r="B17" s="17" t="s">
        <v>84</v>
      </c>
      <c r="C17" s="19">
        <v>66</v>
      </c>
      <c r="D17" s="19">
        <v>81</v>
      </c>
      <c r="E17" s="19">
        <v>66</v>
      </c>
      <c r="F17" s="19">
        <v>100</v>
      </c>
      <c r="G17" s="19">
        <v>70</v>
      </c>
    </row>
    <row r="18" spans="1:7" ht="15.75" x14ac:dyDescent="0.25">
      <c r="A18" s="17" t="s">
        <v>85</v>
      </c>
      <c r="B18" s="17" t="s">
        <v>79</v>
      </c>
      <c r="C18" s="19">
        <v>0</v>
      </c>
      <c r="D18" s="19">
        <v>0.4803</v>
      </c>
      <c r="E18" s="19">
        <v>0</v>
      </c>
      <c r="F18" s="19">
        <v>0</v>
      </c>
      <c r="G18" s="19">
        <v>0</v>
      </c>
    </row>
    <row r="19" spans="1:7" ht="15.75" x14ac:dyDescent="0.25">
      <c r="A19" s="17" t="s">
        <v>86</v>
      </c>
      <c r="B19" s="17" t="s">
        <v>79</v>
      </c>
      <c r="C19" s="19">
        <v>0</v>
      </c>
      <c r="D19" s="19">
        <v>0</v>
      </c>
      <c r="E19" s="19">
        <v>0</v>
      </c>
      <c r="F19" s="19">
        <v>0</v>
      </c>
      <c r="G19" s="22">
        <v>5.5999999999999997E-6</v>
      </c>
    </row>
    <row r="20" spans="1:7" ht="15.75" x14ac:dyDescent="0.25">
      <c r="A20" s="17" t="s">
        <v>87</v>
      </c>
      <c r="B20" s="17" t="s">
        <v>88</v>
      </c>
      <c r="C20" s="19">
        <v>0</v>
      </c>
      <c r="D20" s="19">
        <v>0</v>
      </c>
      <c r="E20" s="19">
        <v>0</v>
      </c>
      <c r="F20" s="26">
        <v>1.1511</v>
      </c>
      <c r="G20" s="19">
        <v>0</v>
      </c>
    </row>
    <row r="21" spans="1:7" ht="15.75" x14ac:dyDescent="0.25">
      <c r="A21" s="17" t="s">
        <v>89</v>
      </c>
      <c r="B21" s="17" t="s">
        <v>79</v>
      </c>
      <c r="C21" s="19">
        <v>0</v>
      </c>
      <c r="D21" s="19">
        <v>2.7000000000000001E-3</v>
      </c>
      <c r="E21" s="19">
        <v>0</v>
      </c>
      <c r="F21" s="19">
        <v>0</v>
      </c>
      <c r="G21" s="19">
        <v>0</v>
      </c>
    </row>
    <row r="22" spans="1:7" ht="15.75" x14ac:dyDescent="0.25">
      <c r="A22" s="17" t="s">
        <v>90</v>
      </c>
      <c r="B22" s="17" t="s">
        <v>79</v>
      </c>
      <c r="C22" s="19">
        <v>0</v>
      </c>
      <c r="D22" s="19">
        <v>0.04</v>
      </c>
      <c r="E22" s="19">
        <v>0</v>
      </c>
      <c r="F22" s="19">
        <v>0</v>
      </c>
      <c r="G22" s="19">
        <v>0</v>
      </c>
    </row>
    <row r="23" spans="1:7" ht="15.75" x14ac:dyDescent="0.25">
      <c r="A23" s="17" t="s">
        <v>91</v>
      </c>
      <c r="B23" s="17" t="s">
        <v>79</v>
      </c>
      <c r="C23" s="19">
        <v>0</v>
      </c>
      <c r="D23" s="19">
        <v>0</v>
      </c>
      <c r="E23" s="19">
        <v>0</v>
      </c>
      <c r="F23" s="19">
        <v>0</v>
      </c>
      <c r="G23" s="22">
        <v>2.4000000000000001E-5</v>
      </c>
    </row>
    <row r="24" spans="1:7" ht="15.75" x14ac:dyDescent="0.25">
      <c r="A24" s="17" t="s">
        <v>92</v>
      </c>
      <c r="B24" s="17" t="s">
        <v>88</v>
      </c>
      <c r="C24" s="26">
        <v>38.160899999999998</v>
      </c>
      <c r="D24" s="26">
        <v>21.964400000000001</v>
      </c>
      <c r="E24" s="26">
        <v>38.160899999999998</v>
      </c>
      <c r="F24" s="26">
        <v>0</v>
      </c>
      <c r="G24" s="26">
        <v>0</v>
      </c>
    </row>
    <row r="25" spans="1:7" ht="15.75" x14ac:dyDescent="0.25">
      <c r="A25" s="17" t="s">
        <v>93</v>
      </c>
      <c r="B25" s="17" t="s">
        <v>79</v>
      </c>
      <c r="C25" s="19">
        <v>0</v>
      </c>
      <c r="D25" s="19">
        <v>1.9900000000000001E-2</v>
      </c>
      <c r="E25" s="19">
        <v>0</v>
      </c>
      <c r="F25" s="19">
        <v>0</v>
      </c>
      <c r="G25" s="19">
        <v>1.5E-3</v>
      </c>
    </row>
    <row r="26" spans="1:7" ht="15.75" x14ac:dyDescent="0.25">
      <c r="A26" s="17" t="s">
        <v>94</v>
      </c>
      <c r="B26" s="17" t="s">
        <v>79</v>
      </c>
      <c r="C26" s="19">
        <v>13.92</v>
      </c>
      <c r="D26" s="19">
        <v>13.92</v>
      </c>
      <c r="E26" s="19">
        <v>13.92</v>
      </c>
      <c r="F26" s="19">
        <v>0</v>
      </c>
      <c r="G26" s="19">
        <v>0</v>
      </c>
    </row>
    <row r="27" spans="1:7" ht="15.75" x14ac:dyDescent="0.25">
      <c r="A27" s="17" t="s">
        <v>50</v>
      </c>
      <c r="B27" s="17" t="s">
        <v>79</v>
      </c>
      <c r="C27" s="19">
        <v>0</v>
      </c>
      <c r="D27" s="26">
        <v>1.1214</v>
      </c>
      <c r="E27" s="19">
        <v>0</v>
      </c>
      <c r="F27" s="19">
        <v>0</v>
      </c>
      <c r="G27" s="19">
        <v>0.39700000000000002</v>
      </c>
    </row>
    <row r="28" spans="1:7" ht="15.75" x14ac:dyDescent="0.25">
      <c r="A28" s="17" t="s">
        <v>95</v>
      </c>
      <c r="B28" s="17" t="s">
        <v>96</v>
      </c>
      <c r="C28" s="19">
        <v>0.33</v>
      </c>
      <c r="D28" s="19">
        <v>0.28999999999999998</v>
      </c>
      <c r="E28" s="19">
        <v>0.48</v>
      </c>
      <c r="F28" s="19">
        <v>0.7</v>
      </c>
      <c r="G28" s="19">
        <v>0.42</v>
      </c>
    </row>
    <row r="29" spans="1:7" x14ac:dyDescent="0.25">
      <c r="A29" s="17"/>
      <c r="B29" s="17"/>
      <c r="C29" s="19"/>
      <c r="D29" s="19"/>
      <c r="E29" s="19"/>
      <c r="F29" s="19"/>
      <c r="G29" s="19"/>
    </row>
    <row r="30" spans="1:7" x14ac:dyDescent="0.25">
      <c r="A30" s="24" t="s">
        <v>9</v>
      </c>
      <c r="B30" s="17"/>
      <c r="C30" s="19"/>
      <c r="D30" s="19"/>
      <c r="E30" s="19"/>
      <c r="F30" s="19"/>
      <c r="G30" s="19"/>
    </row>
    <row r="31" spans="1:7" ht="15.75" x14ac:dyDescent="0.25">
      <c r="A31" s="17" t="s">
        <v>97</v>
      </c>
      <c r="B31" s="17" t="s">
        <v>79</v>
      </c>
      <c r="C31" s="19">
        <v>10</v>
      </c>
      <c r="D31" s="19">
        <v>119</v>
      </c>
      <c r="E31" s="19">
        <v>325</v>
      </c>
      <c r="F31" s="19">
        <v>7.5</v>
      </c>
      <c r="G31" s="19">
        <v>10</v>
      </c>
    </row>
    <row r="32" spans="1:7" ht="15.75" x14ac:dyDescent="0.25">
      <c r="A32" s="17" t="s">
        <v>98</v>
      </c>
      <c r="B32" s="17" t="s">
        <v>84</v>
      </c>
      <c r="C32" s="19" t="s">
        <v>99</v>
      </c>
      <c r="D32" s="19" t="s">
        <v>100</v>
      </c>
      <c r="E32" s="19" t="s">
        <v>101</v>
      </c>
      <c r="F32" s="19" t="s">
        <v>102</v>
      </c>
      <c r="G32" s="19" t="s">
        <v>103</v>
      </c>
    </row>
    <row r="33" spans="1:9" x14ac:dyDescent="0.25">
      <c r="A33" s="17"/>
      <c r="B33" s="17"/>
      <c r="C33" s="19"/>
      <c r="D33" s="19"/>
      <c r="E33" s="19"/>
      <c r="F33" s="19"/>
      <c r="G33" s="19"/>
    </row>
    <row r="34" spans="1:9" x14ac:dyDescent="0.25">
      <c r="A34" s="24" t="s">
        <v>104</v>
      </c>
      <c r="B34" s="17"/>
      <c r="C34" s="19"/>
      <c r="D34" s="19"/>
      <c r="E34" s="19"/>
      <c r="F34" s="19"/>
      <c r="G34" s="19"/>
    </row>
    <row r="35" spans="1:9" ht="15.75" x14ac:dyDescent="0.25">
      <c r="A35" s="17" t="s">
        <v>30</v>
      </c>
      <c r="B35" s="17" t="s">
        <v>79</v>
      </c>
      <c r="C35" s="22">
        <v>1.0000000000000001E-5</v>
      </c>
      <c r="D35" s="22">
        <v>8.0999999999999997E-7</v>
      </c>
      <c r="E35" s="22">
        <v>0</v>
      </c>
      <c r="F35" s="22">
        <v>1.0000000000000001E-5</v>
      </c>
      <c r="G35" s="22">
        <v>1.0000000000000001E-5</v>
      </c>
      <c r="I35" s="84"/>
    </row>
    <row r="36" spans="1:9" ht="15.75" x14ac:dyDescent="0.25">
      <c r="A36" s="17" t="s">
        <v>32</v>
      </c>
      <c r="B36" s="17" t="s">
        <v>79</v>
      </c>
      <c r="C36" s="22">
        <v>1.9999999999999999E-7</v>
      </c>
      <c r="D36" s="22">
        <v>4.0000000000000001E-8</v>
      </c>
      <c r="E36" s="22">
        <v>1.9000000000000001E-7</v>
      </c>
      <c r="F36" s="22">
        <v>2.7E-8</v>
      </c>
      <c r="G36" s="22">
        <v>1.9999999999999999E-7</v>
      </c>
      <c r="I36" s="84"/>
    </row>
    <row r="37" spans="1:9" ht="15.75" x14ac:dyDescent="0.25">
      <c r="A37" s="17" t="s">
        <v>105</v>
      </c>
      <c r="B37" s="17" t="s">
        <v>79</v>
      </c>
      <c r="C37" s="22">
        <v>6.8999999999999999E-3</v>
      </c>
      <c r="D37" s="22">
        <v>2.5999999999999999E-2</v>
      </c>
      <c r="E37" s="22">
        <v>0.15</v>
      </c>
      <c r="F37" s="22">
        <v>0</v>
      </c>
      <c r="G37" s="22">
        <v>3.3000000000000002E-2</v>
      </c>
      <c r="I37" s="84"/>
    </row>
    <row r="38" spans="1:9" ht="15.75" x14ac:dyDescent="0.25">
      <c r="A38" s="17" t="s">
        <v>106</v>
      </c>
      <c r="B38" s="17" t="s">
        <v>79</v>
      </c>
      <c r="C38" s="85">
        <v>320</v>
      </c>
      <c r="D38" s="85">
        <v>690</v>
      </c>
      <c r="E38" s="85">
        <v>1400</v>
      </c>
      <c r="F38" s="85">
        <v>160</v>
      </c>
      <c r="G38" s="85">
        <v>320</v>
      </c>
      <c r="I38" s="84"/>
    </row>
    <row r="39" spans="1:9" ht="15.75" x14ac:dyDescent="0.25">
      <c r="A39" s="17" t="s">
        <v>33</v>
      </c>
      <c r="B39" s="17" t="s">
        <v>79</v>
      </c>
      <c r="C39" s="22">
        <v>1.5999999999999999E-5</v>
      </c>
      <c r="D39" s="22">
        <v>1.5E-6</v>
      </c>
      <c r="E39" s="22">
        <v>3.9999999999999998E-6</v>
      </c>
      <c r="F39" s="22">
        <v>1.7E-6</v>
      </c>
      <c r="G39" s="22">
        <v>1.5999999999999999E-5</v>
      </c>
      <c r="I39" s="84"/>
    </row>
    <row r="40" spans="1:9" ht="15.75" x14ac:dyDescent="0.25">
      <c r="A40" s="17" t="s">
        <v>34</v>
      </c>
      <c r="B40" s="17" t="s">
        <v>79</v>
      </c>
      <c r="C40" s="22">
        <v>3.1999999999999999E-5</v>
      </c>
      <c r="D40" s="22">
        <v>7.6000000000000001E-6</v>
      </c>
      <c r="E40" s="22">
        <v>1.3999999999999999E-6</v>
      </c>
      <c r="F40" s="22">
        <v>8.8000000000000004E-6</v>
      </c>
      <c r="G40" s="22">
        <v>3.1999999999999999E-5</v>
      </c>
      <c r="I40" s="84"/>
    </row>
    <row r="41" spans="1:9" ht="15.75" x14ac:dyDescent="0.25">
      <c r="A41" s="17" t="s">
        <v>107</v>
      </c>
      <c r="B41" s="17" t="s">
        <v>79</v>
      </c>
      <c r="C41" s="22">
        <v>1.7999999999999999E-11</v>
      </c>
      <c r="D41" s="22">
        <v>1.7999999999999999E-11</v>
      </c>
      <c r="E41" s="22">
        <v>1.7999999999999999E-11</v>
      </c>
      <c r="F41" s="22">
        <v>1.7999999999999999E-11</v>
      </c>
      <c r="G41" s="22">
        <v>1.7999999999999999E-11</v>
      </c>
      <c r="I41" s="84"/>
    </row>
    <row r="42" spans="1:9" ht="15.75" x14ac:dyDescent="0.25">
      <c r="A42" s="17" t="s">
        <v>108</v>
      </c>
      <c r="B42" s="17" t="s">
        <v>79</v>
      </c>
      <c r="C42" s="22">
        <v>1.5E-3</v>
      </c>
      <c r="D42" s="22">
        <v>1E-3</v>
      </c>
      <c r="E42" s="22">
        <v>1.7000000000000001E-2</v>
      </c>
      <c r="F42" s="22">
        <v>6.6000000000000005E-5</v>
      </c>
      <c r="G42" s="22">
        <v>3.0000000000000001E-3</v>
      </c>
      <c r="I42" s="84"/>
    </row>
    <row r="43" spans="1:9" ht="15.75" x14ac:dyDescent="0.25">
      <c r="A43" s="17" t="s">
        <v>109</v>
      </c>
      <c r="B43" s="17" t="s">
        <v>79</v>
      </c>
      <c r="C43" s="22">
        <v>7.3999999999999999E-4</v>
      </c>
      <c r="D43" s="22">
        <v>0</v>
      </c>
      <c r="E43" s="22">
        <v>0</v>
      </c>
      <c r="F43" s="22">
        <v>5.3999999999999999E-2</v>
      </c>
      <c r="G43" s="22">
        <v>5.3E-3</v>
      </c>
      <c r="I43" s="84"/>
    </row>
    <row r="44" spans="1:9" ht="15.75" x14ac:dyDescent="0.25">
      <c r="A44" s="17" t="s">
        <v>110</v>
      </c>
      <c r="B44" s="17" t="s">
        <v>79</v>
      </c>
      <c r="C44" s="22">
        <v>0</v>
      </c>
      <c r="D44" s="22">
        <v>6.3000000000000003E-4</v>
      </c>
      <c r="E44" s="22">
        <v>2.5000000000000001E-3</v>
      </c>
      <c r="F44" s="22">
        <v>0</v>
      </c>
      <c r="G44" s="22">
        <v>3.8999999999999999E-4</v>
      </c>
      <c r="I44" s="84"/>
    </row>
    <row r="45" spans="1:9" ht="15.75" x14ac:dyDescent="0.25">
      <c r="A45" s="17" t="s">
        <v>31</v>
      </c>
      <c r="B45" s="17" t="s">
        <v>79</v>
      </c>
      <c r="C45" s="22">
        <v>2.6000000000000001E-6</v>
      </c>
      <c r="D45" s="22">
        <v>0</v>
      </c>
      <c r="E45" s="22">
        <v>4.1000000000000003E-8</v>
      </c>
      <c r="F45" s="22">
        <v>0</v>
      </c>
      <c r="G45" s="22">
        <v>2.6000000000000001E-6</v>
      </c>
      <c r="I45" s="84"/>
    </row>
    <row r="46" spans="1:9" ht="15.75" x14ac:dyDescent="0.25">
      <c r="A46" s="17" t="s">
        <v>111</v>
      </c>
      <c r="B46" s="17" t="s">
        <v>79</v>
      </c>
      <c r="C46" s="22">
        <v>0.26</v>
      </c>
      <c r="D46" s="22">
        <v>0</v>
      </c>
      <c r="E46" s="22">
        <v>0</v>
      </c>
      <c r="F46" s="22">
        <v>0</v>
      </c>
      <c r="G46" s="22">
        <v>0</v>
      </c>
      <c r="I46" s="84"/>
    </row>
    <row r="47" spans="1:9" ht="15.75" x14ac:dyDescent="0.25">
      <c r="A47" s="17" t="s">
        <v>112</v>
      </c>
      <c r="B47" s="17" t="s">
        <v>79</v>
      </c>
      <c r="C47" s="22">
        <v>6.8999999999999999E-3</v>
      </c>
      <c r="D47" s="22">
        <v>3.0000000000000001E-3</v>
      </c>
      <c r="E47" s="22">
        <v>4.2000000000000003E-2</v>
      </c>
      <c r="F47" s="22">
        <v>0</v>
      </c>
      <c r="G47" s="22">
        <v>0</v>
      </c>
      <c r="I47" s="84"/>
    </row>
    <row r="48" spans="1:9" ht="15.75" x14ac:dyDescent="0.25">
      <c r="A48" s="17" t="s">
        <v>35</v>
      </c>
      <c r="B48" s="17" t="s">
        <v>79</v>
      </c>
      <c r="C48" s="22">
        <v>1.5999999999999999E-5</v>
      </c>
      <c r="D48" s="22">
        <v>2.5999999999999998E-5</v>
      </c>
      <c r="E48" s="22">
        <v>2.7E-6</v>
      </c>
      <c r="F48" s="22">
        <v>4.7999999999999996E-7</v>
      </c>
      <c r="G48" s="22">
        <v>1.5999999999999999E-5</v>
      </c>
      <c r="I48" s="84"/>
    </row>
    <row r="49" spans="1:9" ht="15.75" x14ac:dyDescent="0.25">
      <c r="A49" s="17" t="s">
        <v>113</v>
      </c>
      <c r="B49" s="17" t="s">
        <v>79</v>
      </c>
      <c r="C49" s="22">
        <v>0.11</v>
      </c>
      <c r="D49" s="22">
        <v>0.33</v>
      </c>
      <c r="E49" s="22">
        <v>0.86</v>
      </c>
      <c r="F49" s="22">
        <v>1.2E-2</v>
      </c>
      <c r="G49" s="22">
        <v>0.11</v>
      </c>
      <c r="I49" s="84"/>
    </row>
    <row r="50" spans="1:9" ht="15.75" x14ac:dyDescent="0.25">
      <c r="A50" s="17" t="s">
        <v>36</v>
      </c>
      <c r="B50" s="17" t="s">
        <v>79</v>
      </c>
      <c r="C50" s="22">
        <v>4.6999999999999997E-5</v>
      </c>
      <c r="D50" s="22">
        <v>2.3E-6</v>
      </c>
      <c r="E50" s="22">
        <v>6.1E-6</v>
      </c>
      <c r="F50" s="22">
        <v>4.5000000000000001E-6</v>
      </c>
      <c r="G50" s="22">
        <v>4.6999999999999997E-5</v>
      </c>
      <c r="I50" s="84"/>
    </row>
    <row r="51" spans="1:9" ht="15.75" x14ac:dyDescent="0.25">
      <c r="A51" s="17" t="s">
        <v>114</v>
      </c>
      <c r="B51" s="17" t="s">
        <v>79</v>
      </c>
      <c r="C51" s="22">
        <v>1.2E-2</v>
      </c>
      <c r="D51" s="22">
        <v>7.4999999999999997E-3</v>
      </c>
      <c r="E51" s="22">
        <v>0.34</v>
      </c>
      <c r="F51" s="22">
        <v>1.7000000000000001E-2</v>
      </c>
      <c r="G51" s="22">
        <v>1.2E-2</v>
      </c>
      <c r="I51" s="84"/>
    </row>
    <row r="52" spans="1:9" ht="15.75" x14ac:dyDescent="0.25">
      <c r="A52" s="17" t="s">
        <v>37</v>
      </c>
      <c r="B52" s="17" t="s">
        <v>79</v>
      </c>
      <c r="C52" s="22">
        <v>0</v>
      </c>
      <c r="D52" s="22">
        <v>0</v>
      </c>
      <c r="E52" s="22">
        <v>0</v>
      </c>
      <c r="F52" s="22">
        <v>0</v>
      </c>
      <c r="G52" s="22">
        <v>0</v>
      </c>
      <c r="I52" s="84"/>
    </row>
    <row r="53" spans="1:9" x14ac:dyDescent="0.25">
      <c r="A53" s="24"/>
      <c r="B53" s="17"/>
      <c r="C53" s="19"/>
      <c r="D53" s="19"/>
      <c r="E53" s="19"/>
      <c r="F53" s="19"/>
      <c r="G53" s="19"/>
    </row>
    <row r="54" spans="1:9" x14ac:dyDescent="0.25">
      <c r="A54" s="24" t="s">
        <v>115</v>
      </c>
      <c r="B54" s="17"/>
      <c r="C54" s="19"/>
      <c r="D54" s="19"/>
      <c r="E54" s="19"/>
      <c r="F54" s="19"/>
      <c r="G54" s="19"/>
    </row>
    <row r="55" spans="1:9" x14ac:dyDescent="0.25">
      <c r="A55" s="17" t="s">
        <v>116</v>
      </c>
      <c r="B55" s="17" t="s">
        <v>117</v>
      </c>
      <c r="C55" s="25">
        <v>172000000</v>
      </c>
      <c r="D55" s="25">
        <v>145000000</v>
      </c>
      <c r="E55" s="25">
        <v>80000000</v>
      </c>
      <c r="F55" s="25">
        <v>10150000</v>
      </c>
      <c r="G55" s="25">
        <v>121000000</v>
      </c>
    </row>
    <row r="56" spans="1:9" x14ac:dyDescent="0.25">
      <c r="A56" s="17" t="s">
        <v>118</v>
      </c>
      <c r="B56" s="28" t="s">
        <v>119</v>
      </c>
      <c r="C56" s="19">
        <v>0.5</v>
      </c>
      <c r="D56" s="19">
        <v>0.5</v>
      </c>
      <c r="E56" s="19">
        <v>0.5</v>
      </c>
      <c r="F56" s="19">
        <v>0.5</v>
      </c>
      <c r="G56" s="19">
        <v>0.5</v>
      </c>
    </row>
    <row r="57" spans="1:9" x14ac:dyDescent="0.25">
      <c r="A57" s="17" t="s">
        <v>120</v>
      </c>
      <c r="B57" s="28" t="s">
        <v>119</v>
      </c>
      <c r="C57" s="19">
        <v>3.4</v>
      </c>
      <c r="D57" s="19">
        <v>3.4</v>
      </c>
      <c r="E57" s="19">
        <v>3.4</v>
      </c>
      <c r="F57" s="19">
        <v>1.5</v>
      </c>
      <c r="G57" s="19">
        <v>3.4</v>
      </c>
    </row>
    <row r="58" spans="1:9" x14ac:dyDescent="0.25">
      <c r="A58" s="17"/>
      <c r="B58" s="17"/>
      <c r="C58" s="19"/>
      <c r="D58" s="19"/>
      <c r="E58" s="19"/>
      <c r="F58" s="19"/>
      <c r="G58" s="19"/>
    </row>
    <row r="59" spans="1:9" x14ac:dyDescent="0.25">
      <c r="A59" s="24" t="s">
        <v>121</v>
      </c>
      <c r="B59" s="17"/>
      <c r="C59" s="19"/>
      <c r="D59" s="19"/>
      <c r="E59" s="19"/>
      <c r="F59" s="19"/>
      <c r="G59" s="19"/>
    </row>
    <row r="60" spans="1:9" ht="15.75" x14ac:dyDescent="0.25">
      <c r="A60" s="17" t="s">
        <v>122</v>
      </c>
      <c r="B60" s="17" t="s">
        <v>123</v>
      </c>
      <c r="C60" s="19">
        <v>35.700000000000003</v>
      </c>
      <c r="D60" s="19">
        <v>30</v>
      </c>
      <c r="E60" s="19">
        <v>58.6</v>
      </c>
      <c r="F60" s="19">
        <v>135.80000000000001</v>
      </c>
      <c r="G60" s="19">
        <v>59.6</v>
      </c>
    </row>
    <row r="61" spans="1:9" ht="15.75" x14ac:dyDescent="0.25">
      <c r="A61" s="17" t="s">
        <v>118</v>
      </c>
      <c r="B61" s="17" t="s">
        <v>123</v>
      </c>
      <c r="C61" s="19">
        <v>2.2000000000000002</v>
      </c>
      <c r="D61" s="19">
        <v>1.9</v>
      </c>
      <c r="E61" s="19">
        <v>3.6</v>
      </c>
      <c r="F61" s="19">
        <v>8.4</v>
      </c>
      <c r="G61" s="19">
        <v>3.7</v>
      </c>
    </row>
    <row r="62" spans="1:9" ht="15.75" x14ac:dyDescent="0.25">
      <c r="A62" s="17" t="s">
        <v>120</v>
      </c>
      <c r="B62" s="17" t="s">
        <v>123</v>
      </c>
      <c r="C62" s="19">
        <v>15.3</v>
      </c>
      <c r="D62" s="19">
        <v>12.9</v>
      </c>
      <c r="E62" s="19">
        <v>25.1</v>
      </c>
      <c r="F62" s="19">
        <v>25.4</v>
      </c>
      <c r="G62" s="19">
        <v>17.100000000000001</v>
      </c>
    </row>
    <row r="63" spans="1:9" x14ac:dyDescent="0.25">
      <c r="A63" s="2" t="s">
        <v>942</v>
      </c>
      <c r="B63" s="81"/>
      <c r="C63" s="81"/>
      <c r="D63" s="81"/>
      <c r="E63" s="81"/>
      <c r="F63" s="81"/>
      <c r="G63" s="81"/>
    </row>
    <row r="64" spans="1:9" x14ac:dyDescent="0.25">
      <c r="A64" s="2" t="s">
        <v>944</v>
      </c>
    </row>
    <row r="65" spans="1:1" x14ac:dyDescent="0.25">
      <c r="A65" s="2" t="s">
        <v>995</v>
      </c>
    </row>
    <row r="66" spans="1:1" x14ac:dyDescent="0.25">
      <c r="A66" s="2" t="s">
        <v>945</v>
      </c>
    </row>
    <row r="67" spans="1:1" x14ac:dyDescent="0.25">
      <c r="A67" s="2" t="s">
        <v>943</v>
      </c>
    </row>
    <row r="68" spans="1:1" x14ac:dyDescent="0.25">
      <c r="A68" s="2" t="s">
        <v>1046</v>
      </c>
    </row>
  </sheetData>
  <mergeCells count="4">
    <mergeCell ref="A1:A2"/>
    <mergeCell ref="B1:B2"/>
    <mergeCell ref="A8:A9"/>
    <mergeCell ref="B8:B9"/>
  </mergeCell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D45"/>
  <sheetViews>
    <sheetView topLeftCell="A22" workbookViewId="0">
      <selection activeCell="L29" sqref="L29"/>
    </sheetView>
  </sheetViews>
  <sheetFormatPr defaultRowHeight="15" x14ac:dyDescent="0.25"/>
  <cols>
    <col min="1" max="1" width="20" bestFit="1" customWidth="1"/>
    <col min="2" max="2" width="7.7109375" bestFit="1" customWidth="1"/>
    <col min="3" max="3" width="13.85546875" bestFit="1" customWidth="1"/>
    <col min="4" max="4" width="10.85546875" bestFit="1" customWidth="1"/>
  </cols>
  <sheetData>
    <row r="1" spans="1:4" x14ac:dyDescent="0.25">
      <c r="A1" s="17"/>
      <c r="B1" s="29" t="s">
        <v>40</v>
      </c>
      <c r="C1" s="29" t="s">
        <v>124</v>
      </c>
      <c r="D1" s="29" t="s">
        <v>125</v>
      </c>
    </row>
    <row r="2" spans="1:4" x14ac:dyDescent="0.25">
      <c r="A2" s="24" t="s">
        <v>67</v>
      </c>
      <c r="B2" s="17"/>
      <c r="C2" s="19"/>
      <c r="D2" s="19"/>
    </row>
    <row r="3" spans="1:4" ht="15.75" x14ac:dyDescent="0.25">
      <c r="A3" s="17" t="s">
        <v>126</v>
      </c>
      <c r="B3" s="17" t="s">
        <v>69</v>
      </c>
      <c r="C3" s="25">
        <v>72000</v>
      </c>
      <c r="D3" s="25">
        <v>72000</v>
      </c>
    </row>
    <row r="4" spans="1:4" x14ac:dyDescent="0.25">
      <c r="A4" s="17" t="s">
        <v>127</v>
      </c>
      <c r="B4" s="17" t="s">
        <v>71</v>
      </c>
      <c r="C4" s="19">
        <v>20</v>
      </c>
      <c r="D4" s="19">
        <v>20</v>
      </c>
    </row>
    <row r="5" spans="1:4" x14ac:dyDescent="0.25">
      <c r="A5" s="17"/>
      <c r="B5" s="17"/>
      <c r="C5" s="19"/>
      <c r="D5" s="19"/>
    </row>
    <row r="6" spans="1:4" x14ac:dyDescent="0.25">
      <c r="A6" s="24" t="s">
        <v>3</v>
      </c>
      <c r="B6" s="17"/>
      <c r="C6" s="19"/>
      <c r="D6" s="19"/>
    </row>
    <row r="7" spans="1:4" x14ac:dyDescent="0.25">
      <c r="A7" s="17" t="s">
        <v>72</v>
      </c>
      <c r="B7" s="17"/>
      <c r="C7" s="19" t="s">
        <v>128</v>
      </c>
      <c r="D7" s="19" t="s">
        <v>129</v>
      </c>
    </row>
    <row r="8" spans="1:4" x14ac:dyDescent="0.25">
      <c r="A8" s="17" t="s">
        <v>74</v>
      </c>
      <c r="B8" s="17" t="s">
        <v>130</v>
      </c>
      <c r="C8" s="19">
        <v>1</v>
      </c>
      <c r="D8" s="19">
        <v>1</v>
      </c>
    </row>
    <row r="9" spans="1:4" ht="15.75" x14ac:dyDescent="0.25">
      <c r="A9" s="17" t="s">
        <v>83</v>
      </c>
      <c r="B9" s="17" t="s">
        <v>131</v>
      </c>
      <c r="C9" s="19">
        <v>0.28999999999999998</v>
      </c>
      <c r="D9" s="19">
        <v>0.28999999999999998</v>
      </c>
    </row>
    <row r="10" spans="1:4" ht="15.75" x14ac:dyDescent="0.25">
      <c r="A10" s="17" t="s">
        <v>7</v>
      </c>
      <c r="B10" s="17" t="s">
        <v>84</v>
      </c>
      <c r="C10" s="19">
        <v>6.18</v>
      </c>
      <c r="D10" s="19">
        <v>6.18</v>
      </c>
    </row>
    <row r="11" spans="1:4" ht="15.75" x14ac:dyDescent="0.25">
      <c r="A11" s="17" t="s">
        <v>132</v>
      </c>
      <c r="B11" s="17" t="s">
        <v>84</v>
      </c>
      <c r="C11" s="19" t="s">
        <v>133</v>
      </c>
      <c r="D11" s="19" t="s">
        <v>133</v>
      </c>
    </row>
    <row r="12" spans="1:4" ht="15.75" x14ac:dyDescent="0.25">
      <c r="A12" s="17" t="s">
        <v>95</v>
      </c>
      <c r="B12" s="17" t="s">
        <v>134</v>
      </c>
      <c r="C12" s="19">
        <v>7.0000000000000001E-3</v>
      </c>
      <c r="D12" s="19">
        <v>7.0000000000000001E-3</v>
      </c>
    </row>
    <row r="13" spans="1:4" x14ac:dyDescent="0.25">
      <c r="A13" s="17"/>
      <c r="B13" s="17"/>
      <c r="C13" s="19"/>
      <c r="D13" s="19"/>
    </row>
    <row r="14" spans="1:4" x14ac:dyDescent="0.25">
      <c r="A14" s="24" t="s">
        <v>9</v>
      </c>
      <c r="B14" s="17"/>
      <c r="C14" s="19"/>
      <c r="D14" s="19"/>
    </row>
    <row r="15" spans="1:4" ht="15.75" x14ac:dyDescent="0.25">
      <c r="A15" s="17" t="s">
        <v>135</v>
      </c>
      <c r="B15" s="17" t="s">
        <v>136</v>
      </c>
      <c r="C15" s="19">
        <v>24</v>
      </c>
      <c r="D15" s="19">
        <v>135</v>
      </c>
    </row>
    <row r="16" spans="1:4" ht="15.75" x14ac:dyDescent="0.25">
      <c r="A16" s="17" t="s">
        <v>137</v>
      </c>
      <c r="B16" s="17" t="s">
        <v>84</v>
      </c>
      <c r="C16" s="19" t="s">
        <v>138</v>
      </c>
      <c r="D16" s="19" t="s">
        <v>139</v>
      </c>
    </row>
    <row r="17" spans="1:4" x14ac:dyDescent="0.25">
      <c r="A17" s="17"/>
      <c r="B17" s="17"/>
      <c r="C17" s="19"/>
      <c r="D17" s="19"/>
    </row>
    <row r="18" spans="1:4" x14ac:dyDescent="0.25">
      <c r="A18" s="24" t="s">
        <v>140</v>
      </c>
      <c r="B18" s="17"/>
      <c r="C18" s="19"/>
      <c r="D18" s="19"/>
    </row>
    <row r="19" spans="1:4" ht="15.75" x14ac:dyDescent="0.25">
      <c r="A19" s="17" t="s">
        <v>141</v>
      </c>
      <c r="B19" s="17" t="s">
        <v>79</v>
      </c>
      <c r="C19" s="19">
        <v>0.2</v>
      </c>
      <c r="D19" s="19">
        <v>1.1000000000000001</v>
      </c>
    </row>
    <row r="20" spans="1:4" ht="15.75" x14ac:dyDescent="0.25">
      <c r="A20" s="17" t="s">
        <v>106</v>
      </c>
      <c r="B20" s="17" t="s">
        <v>79</v>
      </c>
      <c r="C20" s="19">
        <v>0.55000000000000004</v>
      </c>
      <c r="D20" s="19">
        <v>3</v>
      </c>
    </row>
    <row r="21" spans="1:4" x14ac:dyDescent="0.25">
      <c r="A21" s="17"/>
      <c r="B21" s="17"/>
      <c r="C21" s="19"/>
      <c r="D21" s="19"/>
    </row>
    <row r="22" spans="1:4" x14ac:dyDescent="0.25">
      <c r="A22" s="24" t="s">
        <v>142</v>
      </c>
      <c r="B22" s="142"/>
      <c r="C22" s="143"/>
      <c r="D22" s="143"/>
    </row>
    <row r="23" spans="1:4" ht="15.75" x14ac:dyDescent="0.25">
      <c r="A23" s="24" t="s">
        <v>143</v>
      </c>
      <c r="B23" s="142"/>
      <c r="C23" s="143"/>
      <c r="D23" s="143"/>
    </row>
    <row r="24" spans="1:4" ht="15.75" x14ac:dyDescent="0.25">
      <c r="A24" s="17" t="s">
        <v>144</v>
      </c>
      <c r="B24" s="17" t="s">
        <v>145</v>
      </c>
      <c r="C24" s="19">
        <v>0.434</v>
      </c>
      <c r="D24" s="19">
        <v>0.434</v>
      </c>
    </row>
    <row r="25" spans="1:4" ht="15.75" x14ac:dyDescent="0.25">
      <c r="A25" s="17" t="s">
        <v>146</v>
      </c>
      <c r="B25" s="17" t="s">
        <v>145</v>
      </c>
      <c r="C25" s="19">
        <v>0.20200000000000001</v>
      </c>
      <c r="D25" s="19">
        <v>0.20200000000000001</v>
      </c>
    </row>
    <row r="26" spans="1:4" ht="15.75" x14ac:dyDescent="0.25">
      <c r="A26" s="17" t="s">
        <v>147</v>
      </c>
      <c r="B26" s="17" t="s">
        <v>145</v>
      </c>
      <c r="C26" s="19">
        <v>1.6000000000000001E-3</v>
      </c>
      <c r="D26" s="19">
        <v>1.6000000000000001E-3</v>
      </c>
    </row>
    <row r="27" spans="1:4" ht="15.75" x14ac:dyDescent="0.25">
      <c r="A27" s="17" t="s">
        <v>148</v>
      </c>
      <c r="B27" s="17" t="s">
        <v>145</v>
      </c>
      <c r="C27" s="19">
        <v>0.434</v>
      </c>
      <c r="D27" s="19">
        <v>0.434</v>
      </c>
    </row>
    <row r="28" spans="1:4" ht="15.75" x14ac:dyDescent="0.25">
      <c r="A28" s="17" t="s">
        <v>106</v>
      </c>
      <c r="B28" s="17" t="s">
        <v>79</v>
      </c>
      <c r="C28" s="19">
        <v>44</v>
      </c>
      <c r="D28" s="19">
        <v>239</v>
      </c>
    </row>
    <row r="29" spans="1:4" x14ac:dyDescent="0.25">
      <c r="A29" s="24"/>
      <c r="B29" s="17"/>
      <c r="C29" s="19"/>
      <c r="D29" s="19"/>
    </row>
    <row r="30" spans="1:4" x14ac:dyDescent="0.25">
      <c r="A30" s="24" t="s">
        <v>115</v>
      </c>
      <c r="B30" s="17"/>
      <c r="C30" s="19"/>
      <c r="D30" s="19"/>
    </row>
    <row r="31" spans="1:4" ht="15.75" x14ac:dyDescent="0.25">
      <c r="A31" s="17" t="s">
        <v>122</v>
      </c>
      <c r="B31" s="17" t="s">
        <v>117</v>
      </c>
      <c r="C31" s="25">
        <v>2050000</v>
      </c>
      <c r="D31" s="25">
        <v>2050000</v>
      </c>
    </row>
    <row r="32" spans="1:4" x14ac:dyDescent="0.25">
      <c r="A32" s="17" t="s">
        <v>118</v>
      </c>
      <c r="B32" s="28" t="s">
        <v>119</v>
      </c>
      <c r="C32" s="19">
        <v>1.5</v>
      </c>
      <c r="D32" s="19">
        <v>1.5</v>
      </c>
    </row>
    <row r="33" spans="1:4" x14ac:dyDescent="0.25">
      <c r="A33" s="17" t="s">
        <v>120</v>
      </c>
      <c r="B33" s="28" t="s">
        <v>119</v>
      </c>
      <c r="C33" s="19">
        <v>3</v>
      </c>
      <c r="D33" s="19">
        <v>3</v>
      </c>
    </row>
    <row r="34" spans="1:4" x14ac:dyDescent="0.25">
      <c r="A34" s="17"/>
      <c r="B34" s="17"/>
      <c r="C34" s="19"/>
      <c r="D34" s="19"/>
    </row>
    <row r="35" spans="1:4" x14ac:dyDescent="0.25">
      <c r="A35" s="24" t="s">
        <v>121</v>
      </c>
      <c r="B35" s="17"/>
      <c r="C35" s="19"/>
      <c r="D35" s="19"/>
    </row>
    <row r="36" spans="1:4" ht="15.75" x14ac:dyDescent="0.25">
      <c r="A36" s="17" t="s">
        <v>149</v>
      </c>
      <c r="B36" s="17" t="s">
        <v>123</v>
      </c>
      <c r="C36" s="19">
        <v>2.2999999999999998</v>
      </c>
      <c r="D36" s="19">
        <v>2.2999999999999998</v>
      </c>
    </row>
    <row r="37" spans="1:4" ht="15.75" x14ac:dyDescent="0.25">
      <c r="A37" s="17" t="s">
        <v>118</v>
      </c>
      <c r="B37" s="17" t="s">
        <v>123</v>
      </c>
      <c r="C37" s="19">
        <v>0.4</v>
      </c>
      <c r="D37" s="19">
        <v>0.4</v>
      </c>
    </row>
    <row r="38" spans="1:4" ht="15.75" x14ac:dyDescent="0.25">
      <c r="A38" s="17" t="s">
        <v>120</v>
      </c>
      <c r="B38" s="17" t="s">
        <v>123</v>
      </c>
      <c r="C38" s="19">
        <v>0.9</v>
      </c>
      <c r="D38" s="19">
        <v>0.9</v>
      </c>
    </row>
    <row r="39" spans="1:4" x14ac:dyDescent="0.25">
      <c r="A39" s="2" t="s">
        <v>183</v>
      </c>
    </row>
    <row r="40" spans="1:4" x14ac:dyDescent="0.25">
      <c r="A40" s="2" t="s">
        <v>184</v>
      </c>
    </row>
    <row r="41" spans="1:4" x14ac:dyDescent="0.25">
      <c r="A41" s="2" t="s">
        <v>185</v>
      </c>
    </row>
    <row r="42" spans="1:4" x14ac:dyDescent="0.25">
      <c r="A42" s="2" t="s">
        <v>186</v>
      </c>
    </row>
    <row r="43" spans="1:4" x14ac:dyDescent="0.25">
      <c r="A43" s="2" t="s">
        <v>950</v>
      </c>
    </row>
    <row r="44" spans="1:4" x14ac:dyDescent="0.25">
      <c r="A44" s="2" t="s">
        <v>951</v>
      </c>
    </row>
    <row r="45" spans="1:4" x14ac:dyDescent="0.25">
      <c r="A45" s="2" t="s">
        <v>1043</v>
      </c>
    </row>
  </sheetData>
  <mergeCells count="3">
    <mergeCell ref="B22:B23"/>
    <mergeCell ref="C22:C23"/>
    <mergeCell ref="D22:D2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C26"/>
  <sheetViews>
    <sheetView workbookViewId="0">
      <selection activeCell="K6" sqref="K6"/>
    </sheetView>
  </sheetViews>
  <sheetFormatPr defaultRowHeight="15" x14ac:dyDescent="0.25"/>
  <cols>
    <col min="1" max="1" width="16" bestFit="1" customWidth="1"/>
    <col min="2" max="2" width="7.5703125" bestFit="1" customWidth="1"/>
    <col min="3" max="3" width="22.7109375" bestFit="1" customWidth="1"/>
  </cols>
  <sheetData>
    <row r="1" spans="1:3" x14ac:dyDescent="0.25">
      <c r="A1" s="29"/>
      <c r="B1" s="29" t="s">
        <v>40</v>
      </c>
      <c r="C1" s="15" t="s">
        <v>150</v>
      </c>
    </row>
    <row r="2" spans="1:3" x14ac:dyDescent="0.25">
      <c r="A2" s="24" t="s">
        <v>67</v>
      </c>
      <c r="B2" s="17"/>
      <c r="C2" s="19"/>
    </row>
    <row r="3" spans="1:3" ht="15.75" x14ac:dyDescent="0.25">
      <c r="A3" s="17" t="s">
        <v>151</v>
      </c>
      <c r="B3" s="17" t="s">
        <v>69</v>
      </c>
      <c r="C3" s="25">
        <v>200000</v>
      </c>
    </row>
    <row r="4" spans="1:3" x14ac:dyDescent="0.25">
      <c r="A4" s="17" t="s">
        <v>127</v>
      </c>
      <c r="B4" s="17" t="s">
        <v>71</v>
      </c>
      <c r="C4" s="19">
        <v>20</v>
      </c>
    </row>
    <row r="5" spans="1:3" x14ac:dyDescent="0.25">
      <c r="A5" s="17"/>
      <c r="B5" s="17"/>
      <c r="C5" s="19"/>
    </row>
    <row r="6" spans="1:3" x14ac:dyDescent="0.25">
      <c r="A6" s="24" t="s">
        <v>3</v>
      </c>
      <c r="B6" s="17"/>
      <c r="C6" s="19"/>
    </row>
    <row r="7" spans="1:3" x14ac:dyDescent="0.25">
      <c r="A7" s="17" t="s">
        <v>72</v>
      </c>
      <c r="B7" s="17"/>
      <c r="C7" s="19" t="s">
        <v>152</v>
      </c>
    </row>
    <row r="8" spans="1:3" x14ac:dyDescent="0.25">
      <c r="A8" s="17" t="s">
        <v>74</v>
      </c>
      <c r="B8" s="17" t="s">
        <v>75</v>
      </c>
      <c r="C8" s="19">
        <v>1</v>
      </c>
    </row>
    <row r="9" spans="1:3" ht="15.75" x14ac:dyDescent="0.25">
      <c r="A9" s="17" t="s">
        <v>153</v>
      </c>
      <c r="B9" s="17" t="s">
        <v>84</v>
      </c>
      <c r="C9" s="19">
        <v>2.5999999999999999E-2</v>
      </c>
    </row>
    <row r="10" spans="1:3" ht="15.75" x14ac:dyDescent="0.25">
      <c r="A10" s="17" t="s">
        <v>154</v>
      </c>
      <c r="B10" s="17" t="s">
        <v>79</v>
      </c>
      <c r="C10" s="19">
        <v>0.35</v>
      </c>
    </row>
    <row r="11" spans="1:3" ht="15.75" x14ac:dyDescent="0.25">
      <c r="A11" s="17" t="s">
        <v>95</v>
      </c>
      <c r="B11" s="17" t="s">
        <v>96</v>
      </c>
      <c r="C11" s="19">
        <v>4.2000000000000003E-2</v>
      </c>
    </row>
    <row r="12" spans="1:3" x14ac:dyDescent="0.25">
      <c r="A12" s="17"/>
      <c r="B12" s="17"/>
      <c r="C12" s="11"/>
    </row>
    <row r="13" spans="1:3" x14ac:dyDescent="0.25">
      <c r="A13" s="24" t="s">
        <v>9</v>
      </c>
      <c r="B13" s="17"/>
      <c r="C13" s="11"/>
    </row>
    <row r="14" spans="1:3" ht="15.75" x14ac:dyDescent="0.25">
      <c r="A14" s="17" t="s">
        <v>155</v>
      </c>
      <c r="B14" s="17" t="s">
        <v>156</v>
      </c>
      <c r="C14" s="19">
        <v>0.56000000000000005</v>
      </c>
    </row>
    <row r="15" spans="1:3" ht="15.75" x14ac:dyDescent="0.25">
      <c r="A15" s="17" t="s">
        <v>157</v>
      </c>
      <c r="B15" s="17" t="s">
        <v>156</v>
      </c>
      <c r="C15" s="19">
        <v>7.1999999999999995E-2</v>
      </c>
    </row>
    <row r="16" spans="1:3" x14ac:dyDescent="0.25">
      <c r="A16" s="17"/>
      <c r="B16" s="17"/>
      <c r="C16" s="19"/>
    </row>
    <row r="17" spans="1:3" x14ac:dyDescent="0.25">
      <c r="A17" s="24" t="s">
        <v>115</v>
      </c>
      <c r="B17" s="17"/>
      <c r="C17" s="19"/>
    </row>
    <row r="18" spans="1:3" x14ac:dyDescent="0.25">
      <c r="A18" s="17" t="s">
        <v>116</v>
      </c>
      <c r="B18" s="17" t="s">
        <v>117</v>
      </c>
      <c r="C18" s="25">
        <v>1000000</v>
      </c>
    </row>
    <row r="19" spans="1:3" x14ac:dyDescent="0.25">
      <c r="A19" s="17" t="s">
        <v>118</v>
      </c>
      <c r="B19" s="28" t="s">
        <v>119</v>
      </c>
      <c r="C19" s="19">
        <v>1.5</v>
      </c>
    </row>
    <row r="20" spans="1:3" x14ac:dyDescent="0.25">
      <c r="A20" s="17" t="s">
        <v>120</v>
      </c>
      <c r="B20" s="28" t="s">
        <v>119</v>
      </c>
      <c r="C20" s="19">
        <v>3</v>
      </c>
    </row>
    <row r="21" spans="1:3" x14ac:dyDescent="0.25">
      <c r="A21" s="17"/>
      <c r="B21" s="17"/>
      <c r="C21" s="19"/>
    </row>
    <row r="22" spans="1:3" x14ac:dyDescent="0.25">
      <c r="A22" s="24" t="s">
        <v>121</v>
      </c>
      <c r="B22" s="17"/>
      <c r="C22" s="19"/>
    </row>
    <row r="23" spans="1:3" ht="15.75" x14ac:dyDescent="0.25">
      <c r="A23" s="17" t="s">
        <v>116</v>
      </c>
      <c r="B23" s="17" t="s">
        <v>123</v>
      </c>
      <c r="C23" s="19">
        <v>0.4</v>
      </c>
    </row>
    <row r="24" spans="1:3" ht="15.75" x14ac:dyDescent="0.25">
      <c r="A24" s="17" t="s">
        <v>118</v>
      </c>
      <c r="B24" s="17" t="s">
        <v>123</v>
      </c>
      <c r="C24" s="19">
        <v>0.08</v>
      </c>
    </row>
    <row r="25" spans="1:3" ht="15.75" x14ac:dyDescent="0.25">
      <c r="A25" s="17" t="s">
        <v>120</v>
      </c>
      <c r="B25" s="17" t="s">
        <v>123</v>
      </c>
      <c r="C25" s="19">
        <v>0.15</v>
      </c>
    </row>
    <row r="26" spans="1:3" x14ac:dyDescent="0.25">
      <c r="A26" s="2" t="s">
        <v>1044</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F37"/>
  <sheetViews>
    <sheetView topLeftCell="A16" workbookViewId="0">
      <selection activeCell="K22" sqref="K22"/>
    </sheetView>
  </sheetViews>
  <sheetFormatPr defaultRowHeight="15" x14ac:dyDescent="0.25"/>
  <cols>
    <col min="1" max="1" width="16" bestFit="1" customWidth="1"/>
    <col min="2" max="2" width="7.5703125" bestFit="1" customWidth="1"/>
    <col min="3" max="4" width="8.7109375" bestFit="1" customWidth="1"/>
    <col min="5" max="5" width="14.5703125" bestFit="1" customWidth="1"/>
    <col min="6" max="6" width="13.5703125" bestFit="1" customWidth="1"/>
  </cols>
  <sheetData>
    <row r="1" spans="1:6" x14ac:dyDescent="0.25">
      <c r="A1" s="17"/>
      <c r="B1" s="29" t="s">
        <v>40</v>
      </c>
      <c r="C1" s="16" t="s">
        <v>278</v>
      </c>
      <c r="D1" s="15" t="s">
        <v>279</v>
      </c>
      <c r="E1" s="15" t="s">
        <v>276</v>
      </c>
      <c r="F1" s="15" t="s">
        <v>277</v>
      </c>
    </row>
    <row r="2" spans="1:6" x14ac:dyDescent="0.25">
      <c r="A2" s="24" t="s">
        <v>67</v>
      </c>
      <c r="B2" s="17"/>
      <c r="C2" s="20"/>
      <c r="D2" s="19"/>
      <c r="E2" s="19"/>
      <c r="F2" s="17"/>
    </row>
    <row r="3" spans="1:6" ht="15.75" x14ac:dyDescent="0.25">
      <c r="A3" s="17" t="s">
        <v>158</v>
      </c>
      <c r="B3" s="17" t="s">
        <v>69</v>
      </c>
      <c r="C3" s="30">
        <v>13800</v>
      </c>
      <c r="D3" s="25">
        <v>15000</v>
      </c>
      <c r="E3" s="25">
        <v>15000</v>
      </c>
      <c r="F3" s="25">
        <v>15000</v>
      </c>
    </row>
    <row r="4" spans="1:6" x14ac:dyDescent="0.25">
      <c r="A4" s="17" t="s">
        <v>127</v>
      </c>
      <c r="B4" s="17" t="s">
        <v>71</v>
      </c>
      <c r="C4" s="20">
        <v>20</v>
      </c>
      <c r="D4" s="19">
        <v>20</v>
      </c>
      <c r="E4" s="19">
        <v>20</v>
      </c>
      <c r="F4" s="19">
        <v>20</v>
      </c>
    </row>
    <row r="5" spans="1:6" x14ac:dyDescent="0.25">
      <c r="A5" s="17"/>
      <c r="B5" s="17"/>
      <c r="C5" s="20"/>
      <c r="D5" s="19"/>
      <c r="E5" s="19"/>
      <c r="F5" s="17"/>
    </row>
    <row r="6" spans="1:6" x14ac:dyDescent="0.25">
      <c r="A6" s="24" t="s">
        <v>3</v>
      </c>
      <c r="B6" s="17"/>
      <c r="C6" s="20"/>
      <c r="D6" s="19"/>
      <c r="E6" s="19"/>
      <c r="F6" s="17"/>
    </row>
    <row r="7" spans="1:6" x14ac:dyDescent="0.25">
      <c r="A7" s="17" t="s">
        <v>72</v>
      </c>
      <c r="B7" s="17"/>
      <c r="C7" s="20" t="s">
        <v>54</v>
      </c>
      <c r="D7" s="19" t="s">
        <v>54</v>
      </c>
      <c r="E7" s="19" t="s">
        <v>54</v>
      </c>
      <c r="F7" s="19" t="s">
        <v>373</v>
      </c>
    </row>
    <row r="8" spans="1:6" x14ac:dyDescent="0.25">
      <c r="A8" s="17" t="s">
        <v>74</v>
      </c>
      <c r="B8" s="17" t="s">
        <v>130</v>
      </c>
      <c r="C8" s="20">
        <v>1</v>
      </c>
      <c r="D8" s="19">
        <v>1</v>
      </c>
      <c r="E8" s="19">
        <v>1</v>
      </c>
      <c r="F8" s="19">
        <v>1</v>
      </c>
    </row>
    <row r="9" spans="1:6" ht="15.75" x14ac:dyDescent="0.25">
      <c r="A9" s="17" t="s">
        <v>159</v>
      </c>
      <c r="B9" s="17" t="s">
        <v>156</v>
      </c>
      <c r="C9" s="20">
        <v>122.5</v>
      </c>
      <c r="D9" s="19">
        <v>122.5</v>
      </c>
      <c r="E9" s="19">
        <v>98.34</v>
      </c>
      <c r="F9" s="19">
        <v>135</v>
      </c>
    </row>
    <row r="10" spans="1:6" ht="15.75" x14ac:dyDescent="0.25">
      <c r="A10" s="17" t="s">
        <v>80</v>
      </c>
      <c r="B10" s="17" t="s">
        <v>79</v>
      </c>
      <c r="C10" s="20">
        <v>18</v>
      </c>
      <c r="D10" s="19">
        <v>0</v>
      </c>
      <c r="E10" s="19">
        <v>0</v>
      </c>
      <c r="F10" s="19">
        <v>0</v>
      </c>
    </row>
    <row r="11" spans="1:6" ht="15.75" x14ac:dyDescent="0.25">
      <c r="A11" s="17" t="s">
        <v>7</v>
      </c>
      <c r="B11" s="17" t="s">
        <v>84</v>
      </c>
      <c r="C11" s="20">
        <v>90</v>
      </c>
      <c r="D11" s="19">
        <v>30</v>
      </c>
      <c r="E11" s="19">
        <v>62.29</v>
      </c>
      <c r="F11" s="19">
        <v>33.53</v>
      </c>
    </row>
    <row r="12" spans="1:6" ht="15.75" x14ac:dyDescent="0.25">
      <c r="A12" s="17" t="s">
        <v>85</v>
      </c>
      <c r="B12" s="17" t="s">
        <v>79</v>
      </c>
      <c r="C12" s="20" t="s">
        <v>160</v>
      </c>
      <c r="D12" s="19">
        <v>0</v>
      </c>
      <c r="E12" s="19">
        <v>458</v>
      </c>
      <c r="F12" s="19">
        <v>698.5</v>
      </c>
    </row>
    <row r="13" spans="1:6" ht="15.75" x14ac:dyDescent="0.25">
      <c r="A13" s="17" t="s">
        <v>86</v>
      </c>
      <c r="B13" s="17" t="s">
        <v>79</v>
      </c>
      <c r="C13" s="20" t="s">
        <v>160</v>
      </c>
      <c r="D13" s="19">
        <v>333</v>
      </c>
      <c r="E13" s="19">
        <v>0</v>
      </c>
      <c r="F13" s="19">
        <v>0</v>
      </c>
    </row>
    <row r="14" spans="1:6" ht="15.75" x14ac:dyDescent="0.25">
      <c r="A14" s="17" t="s">
        <v>132</v>
      </c>
      <c r="B14" s="17" t="s">
        <v>84</v>
      </c>
      <c r="C14" s="20">
        <v>388.89</v>
      </c>
      <c r="D14" s="31">
        <v>2035</v>
      </c>
      <c r="E14" s="19">
        <v>0</v>
      </c>
      <c r="F14" s="19">
        <v>0</v>
      </c>
    </row>
    <row r="15" spans="1:6" ht="15.75" x14ac:dyDescent="0.25">
      <c r="A15" s="17" t="s">
        <v>91</v>
      </c>
      <c r="B15" s="17" t="s">
        <v>79</v>
      </c>
      <c r="C15" s="20">
        <v>15</v>
      </c>
      <c r="D15" s="19">
        <v>0</v>
      </c>
      <c r="E15" s="19">
        <v>0</v>
      </c>
      <c r="F15" s="19">
        <v>0</v>
      </c>
    </row>
    <row r="16" spans="1:6" ht="15.75" x14ac:dyDescent="0.25">
      <c r="A16" s="17" t="s">
        <v>161</v>
      </c>
      <c r="B16" s="17" t="s">
        <v>79</v>
      </c>
      <c r="C16" s="20">
        <v>370</v>
      </c>
      <c r="D16" s="19">
        <v>0</v>
      </c>
      <c r="E16" s="19">
        <v>0</v>
      </c>
      <c r="F16" s="19">
        <v>0</v>
      </c>
    </row>
    <row r="17" spans="1:6" ht="15.75" x14ac:dyDescent="0.25">
      <c r="A17" s="17" t="s">
        <v>92</v>
      </c>
      <c r="B17" s="17" t="s">
        <v>88</v>
      </c>
      <c r="C17" s="20">
        <v>0</v>
      </c>
      <c r="D17" s="19">
        <v>0</v>
      </c>
      <c r="E17" s="19">
        <v>0.34799999999999998</v>
      </c>
      <c r="F17" s="19">
        <v>0.46100999999999998</v>
      </c>
    </row>
    <row r="18" spans="1:6" ht="15.75" x14ac:dyDescent="0.25">
      <c r="A18" s="17" t="s">
        <v>50</v>
      </c>
      <c r="B18" s="17" t="s">
        <v>79</v>
      </c>
      <c r="C18" s="20">
        <v>290</v>
      </c>
      <c r="D18" s="19">
        <v>0</v>
      </c>
      <c r="E18" s="19">
        <v>0</v>
      </c>
      <c r="F18" s="19">
        <v>0</v>
      </c>
    </row>
    <row r="19" spans="1:6" ht="15.75" x14ac:dyDescent="0.25">
      <c r="A19" s="17" t="s">
        <v>95</v>
      </c>
      <c r="B19" s="17" t="s">
        <v>96</v>
      </c>
      <c r="C19" s="20">
        <v>0.92</v>
      </c>
      <c r="D19" s="19">
        <v>0.56000000000000005</v>
      </c>
      <c r="E19" s="19">
        <v>0.56000000000000005</v>
      </c>
      <c r="F19" s="19">
        <v>0.56000000000000005</v>
      </c>
    </row>
    <row r="20" spans="1:6" x14ac:dyDescent="0.25">
      <c r="A20" s="24"/>
      <c r="B20" s="17"/>
      <c r="C20" s="20"/>
      <c r="D20" s="19"/>
      <c r="E20" s="19"/>
      <c r="F20" s="19"/>
    </row>
    <row r="21" spans="1:6" x14ac:dyDescent="0.25">
      <c r="A21" s="24" t="s">
        <v>9</v>
      </c>
      <c r="B21" s="17"/>
      <c r="C21" s="20"/>
      <c r="D21" s="19"/>
      <c r="E21" s="19"/>
      <c r="F21" s="19"/>
    </row>
    <row r="22" spans="1:6" ht="15.75" x14ac:dyDescent="0.25">
      <c r="A22" s="17" t="s">
        <v>162</v>
      </c>
      <c r="B22" s="17" t="s">
        <v>79</v>
      </c>
      <c r="C22" s="20">
        <v>0</v>
      </c>
      <c r="D22" s="19">
        <v>67</v>
      </c>
      <c r="E22" s="19">
        <v>0</v>
      </c>
      <c r="F22" s="19">
        <v>0</v>
      </c>
    </row>
    <row r="23" spans="1:6" ht="15.75" x14ac:dyDescent="0.25">
      <c r="A23" s="17" t="s">
        <v>163</v>
      </c>
      <c r="B23" s="17" t="s">
        <v>79</v>
      </c>
      <c r="C23" s="20">
        <v>0</v>
      </c>
      <c r="D23" s="19">
        <v>41</v>
      </c>
      <c r="E23" s="19">
        <v>0</v>
      </c>
      <c r="F23" s="19">
        <v>0</v>
      </c>
    </row>
    <row r="24" spans="1:6" ht="15.75" x14ac:dyDescent="0.25">
      <c r="A24" s="17" t="s">
        <v>164</v>
      </c>
      <c r="B24" s="17" t="s">
        <v>156</v>
      </c>
      <c r="C24" s="20" t="s">
        <v>165</v>
      </c>
      <c r="D24" s="19">
        <v>121.3</v>
      </c>
      <c r="E24" s="19">
        <v>98.28</v>
      </c>
      <c r="F24" s="19">
        <v>134.9</v>
      </c>
    </row>
    <row r="25" spans="1:6" ht="15.75" x14ac:dyDescent="0.25">
      <c r="A25" s="17" t="s">
        <v>17</v>
      </c>
      <c r="B25" s="17" t="s">
        <v>136</v>
      </c>
      <c r="C25" s="20">
        <v>1.4</v>
      </c>
      <c r="D25" s="19">
        <v>5.4</v>
      </c>
      <c r="E25" s="19">
        <v>2</v>
      </c>
      <c r="F25" s="19">
        <v>0.1</v>
      </c>
    </row>
    <row r="26" spans="1:6" x14ac:dyDescent="0.25">
      <c r="A26" s="24"/>
      <c r="B26" s="17"/>
      <c r="C26" s="20"/>
      <c r="D26" s="19"/>
      <c r="E26" s="19"/>
      <c r="F26" s="19"/>
    </row>
    <row r="27" spans="1:6" x14ac:dyDescent="0.25">
      <c r="A27" s="24" t="s">
        <v>115</v>
      </c>
      <c r="B27" s="17"/>
      <c r="C27" s="20"/>
      <c r="D27" s="19"/>
      <c r="E27" s="19"/>
      <c r="F27" s="19"/>
    </row>
    <row r="28" spans="1:6" x14ac:dyDescent="0.25">
      <c r="A28" s="17" t="s">
        <v>116</v>
      </c>
      <c r="B28" s="17" t="s">
        <v>117</v>
      </c>
      <c r="C28" s="30">
        <v>11700000</v>
      </c>
      <c r="D28" s="25">
        <v>2400000</v>
      </c>
      <c r="E28" s="25">
        <v>2400000</v>
      </c>
      <c r="F28" s="25">
        <v>2400000</v>
      </c>
    </row>
    <row r="29" spans="1:6" x14ac:dyDescent="0.25">
      <c r="A29" s="17" t="s">
        <v>118</v>
      </c>
      <c r="B29" s="28" t="s">
        <v>119</v>
      </c>
      <c r="C29" s="20">
        <v>1.5</v>
      </c>
      <c r="D29" s="19">
        <v>1.5</v>
      </c>
      <c r="E29" s="19">
        <v>1.5</v>
      </c>
      <c r="F29" s="19">
        <v>1.5</v>
      </c>
    </row>
    <row r="30" spans="1:6" x14ac:dyDescent="0.25">
      <c r="A30" s="17" t="s">
        <v>120</v>
      </c>
      <c r="B30" s="28" t="s">
        <v>119</v>
      </c>
      <c r="C30" s="20">
        <v>3</v>
      </c>
      <c r="D30" s="19">
        <v>3</v>
      </c>
      <c r="E30" s="19">
        <v>3</v>
      </c>
      <c r="F30" s="19">
        <v>3</v>
      </c>
    </row>
    <row r="31" spans="1:6" x14ac:dyDescent="0.25">
      <c r="A31" s="17"/>
      <c r="B31" s="17"/>
      <c r="C31" s="20"/>
      <c r="D31" s="19"/>
      <c r="E31" s="19"/>
      <c r="F31" s="19"/>
    </row>
    <row r="32" spans="1:6" x14ac:dyDescent="0.25">
      <c r="A32" s="24" t="s">
        <v>121</v>
      </c>
      <c r="B32" s="17"/>
      <c r="C32" s="20"/>
      <c r="D32" s="19"/>
      <c r="E32" s="19"/>
      <c r="F32" s="19"/>
    </row>
    <row r="33" spans="1:6" ht="15.75" x14ac:dyDescent="0.25">
      <c r="A33" s="17" t="s">
        <v>116</v>
      </c>
      <c r="B33" s="17" t="s">
        <v>123</v>
      </c>
      <c r="C33" s="20">
        <v>68</v>
      </c>
      <c r="D33" s="19">
        <v>12.8</v>
      </c>
      <c r="E33" s="19">
        <v>12.8</v>
      </c>
      <c r="F33" s="19">
        <v>12.8</v>
      </c>
    </row>
    <row r="34" spans="1:6" ht="15.75" x14ac:dyDescent="0.25">
      <c r="A34" s="17" t="s">
        <v>118</v>
      </c>
      <c r="B34" s="17" t="s">
        <v>123</v>
      </c>
      <c r="C34" s="20">
        <v>4.2</v>
      </c>
      <c r="D34" s="19">
        <v>2.4</v>
      </c>
      <c r="E34" s="19">
        <v>2.4</v>
      </c>
      <c r="F34" s="19">
        <v>2.4</v>
      </c>
    </row>
    <row r="35" spans="1:6" ht="15.75" x14ac:dyDescent="0.25">
      <c r="A35" s="17" t="s">
        <v>120</v>
      </c>
      <c r="B35" s="17" t="s">
        <v>123</v>
      </c>
      <c r="C35" s="20">
        <v>25.4</v>
      </c>
      <c r="D35" s="19">
        <v>4.8</v>
      </c>
      <c r="E35" s="19">
        <v>4.8</v>
      </c>
      <c r="F35" s="19">
        <v>4.8</v>
      </c>
    </row>
    <row r="36" spans="1:6" x14ac:dyDescent="0.25">
      <c r="A36" s="2" t="s">
        <v>187</v>
      </c>
    </row>
    <row r="37" spans="1:6" x14ac:dyDescent="0.25">
      <c r="A37" s="2" t="s">
        <v>1045</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C35"/>
  <sheetViews>
    <sheetView topLeftCell="A31" workbookViewId="0">
      <selection activeCell="F41" sqref="F41"/>
    </sheetView>
  </sheetViews>
  <sheetFormatPr defaultRowHeight="15" x14ac:dyDescent="0.25"/>
  <cols>
    <col min="1" max="1" width="21.42578125" bestFit="1" customWidth="1"/>
    <col min="2" max="2" width="8.42578125" bestFit="1" customWidth="1"/>
    <col min="3" max="3" width="10.7109375" bestFit="1" customWidth="1"/>
  </cols>
  <sheetData>
    <row r="1" spans="1:3" x14ac:dyDescent="0.25">
      <c r="A1" s="29"/>
      <c r="B1" s="29" t="s">
        <v>40</v>
      </c>
      <c r="C1" s="15" t="s">
        <v>166</v>
      </c>
    </row>
    <row r="2" spans="1:3" x14ac:dyDescent="0.25">
      <c r="A2" s="24" t="s">
        <v>67</v>
      </c>
      <c r="B2" s="17"/>
      <c r="C2" s="19"/>
    </row>
    <row r="3" spans="1:3" ht="15.75" x14ac:dyDescent="0.25">
      <c r="A3" s="17" t="s">
        <v>126</v>
      </c>
      <c r="B3" s="17" t="s">
        <v>69</v>
      </c>
      <c r="C3" s="25">
        <v>73000</v>
      </c>
    </row>
    <row r="4" spans="1:3" x14ac:dyDescent="0.25">
      <c r="A4" s="17" t="s">
        <v>127</v>
      </c>
      <c r="B4" s="17" t="s">
        <v>71</v>
      </c>
      <c r="C4" s="19">
        <v>20</v>
      </c>
    </row>
    <row r="5" spans="1:3" x14ac:dyDescent="0.25">
      <c r="A5" s="17"/>
      <c r="B5" s="17"/>
      <c r="C5" s="19"/>
    </row>
    <row r="6" spans="1:3" x14ac:dyDescent="0.25">
      <c r="A6" s="24" t="s">
        <v>3</v>
      </c>
      <c r="B6" s="17"/>
      <c r="C6" s="19"/>
    </row>
    <row r="7" spans="1:3" x14ac:dyDescent="0.25">
      <c r="A7" s="17" t="s">
        <v>72</v>
      </c>
      <c r="B7" s="17"/>
      <c r="C7" s="19" t="s">
        <v>129</v>
      </c>
    </row>
    <row r="8" spans="1:3" x14ac:dyDescent="0.25">
      <c r="A8" s="17" t="s">
        <v>74</v>
      </c>
      <c r="B8" s="17" t="s">
        <v>130</v>
      </c>
      <c r="C8" s="19">
        <v>1</v>
      </c>
    </row>
    <row r="9" spans="1:3" ht="15.75" x14ac:dyDescent="0.25">
      <c r="A9" s="17" t="s">
        <v>83</v>
      </c>
      <c r="B9" s="17" t="s">
        <v>131</v>
      </c>
      <c r="C9" s="19">
        <v>1</v>
      </c>
    </row>
    <row r="10" spans="1:3" ht="15.75" x14ac:dyDescent="0.25">
      <c r="A10" s="17" t="s">
        <v>7</v>
      </c>
      <c r="B10" s="17" t="s">
        <v>84</v>
      </c>
      <c r="C10" s="19">
        <v>6.3</v>
      </c>
    </row>
    <row r="11" spans="1:3" ht="15.75" x14ac:dyDescent="0.25">
      <c r="A11" s="17" t="s">
        <v>95</v>
      </c>
      <c r="B11" s="17" t="s">
        <v>134</v>
      </c>
      <c r="C11" s="19">
        <v>0.5</v>
      </c>
    </row>
    <row r="12" spans="1:3" x14ac:dyDescent="0.25">
      <c r="A12" s="17"/>
      <c r="B12" s="17"/>
      <c r="C12" s="19"/>
    </row>
    <row r="13" spans="1:3" x14ac:dyDescent="0.25">
      <c r="A13" s="24" t="s">
        <v>9</v>
      </c>
      <c r="B13" s="17"/>
      <c r="C13" s="19"/>
    </row>
    <row r="14" spans="1:3" ht="15.75" x14ac:dyDescent="0.25">
      <c r="A14" s="17" t="s">
        <v>167</v>
      </c>
      <c r="B14" s="17" t="s">
        <v>79</v>
      </c>
      <c r="C14" s="19">
        <v>400</v>
      </c>
    </row>
    <row r="15" spans="1:3" x14ac:dyDescent="0.25">
      <c r="A15" s="17"/>
      <c r="B15" s="17"/>
      <c r="C15" s="19"/>
    </row>
    <row r="16" spans="1:3" x14ac:dyDescent="0.25">
      <c r="A16" s="24" t="s">
        <v>168</v>
      </c>
      <c r="B16" s="17"/>
      <c r="C16" s="19"/>
    </row>
    <row r="17" spans="1:3" x14ac:dyDescent="0.25">
      <c r="A17" s="17" t="s">
        <v>169</v>
      </c>
      <c r="B17" s="17" t="s">
        <v>170</v>
      </c>
      <c r="C17" s="19">
        <v>62</v>
      </c>
    </row>
    <row r="18" spans="1:3" x14ac:dyDescent="0.25">
      <c r="A18" s="17" t="s">
        <v>171</v>
      </c>
      <c r="B18" s="17" t="s">
        <v>170</v>
      </c>
      <c r="C18" s="19">
        <v>8.0000000000000002E-3</v>
      </c>
    </row>
    <row r="19" spans="1:3" x14ac:dyDescent="0.25">
      <c r="A19" s="17" t="s">
        <v>172</v>
      </c>
      <c r="B19" s="17" t="s">
        <v>170</v>
      </c>
      <c r="C19" s="19">
        <v>4.0000000000000001E-3</v>
      </c>
    </row>
    <row r="20" spans="1:3" x14ac:dyDescent="0.25">
      <c r="A20" s="17" t="s">
        <v>173</v>
      </c>
      <c r="B20" s="17" t="s">
        <v>170</v>
      </c>
      <c r="C20" s="19">
        <v>2.4E-2</v>
      </c>
    </row>
    <row r="21" spans="1:3" x14ac:dyDescent="0.25">
      <c r="A21" s="17" t="s">
        <v>174</v>
      </c>
      <c r="B21" s="17" t="s">
        <v>170</v>
      </c>
      <c r="C21" s="22">
        <v>1.1E-4</v>
      </c>
    </row>
    <row r="22" spans="1:3" x14ac:dyDescent="0.25">
      <c r="A22" s="17" t="s">
        <v>175</v>
      </c>
      <c r="B22" s="17" t="s">
        <v>170</v>
      </c>
      <c r="C22" s="22">
        <v>1.7E-5</v>
      </c>
    </row>
    <row r="23" spans="1:3" x14ac:dyDescent="0.25">
      <c r="A23" s="17" t="s">
        <v>176</v>
      </c>
      <c r="B23" s="17" t="s">
        <v>170</v>
      </c>
      <c r="C23" s="19">
        <v>4.4999999999999998E-2</v>
      </c>
    </row>
    <row r="24" spans="1:3" x14ac:dyDescent="0.25">
      <c r="A24" s="17"/>
      <c r="B24" s="17"/>
      <c r="C24" s="19"/>
    </row>
    <row r="25" spans="1:3" x14ac:dyDescent="0.25">
      <c r="A25" s="24" t="s">
        <v>115</v>
      </c>
      <c r="B25" s="17"/>
      <c r="C25" s="19"/>
    </row>
    <row r="26" spans="1:3" ht="15.75" x14ac:dyDescent="0.25">
      <c r="A26" s="17" t="s">
        <v>946</v>
      </c>
      <c r="B26" s="17" t="s">
        <v>117</v>
      </c>
      <c r="C26" s="25">
        <v>16000000</v>
      </c>
    </row>
    <row r="27" spans="1:3" x14ac:dyDescent="0.25">
      <c r="A27" s="17" t="s">
        <v>118</v>
      </c>
      <c r="B27" s="17" t="s">
        <v>119</v>
      </c>
      <c r="C27" s="19">
        <v>1.5</v>
      </c>
    </row>
    <row r="28" spans="1:3" x14ac:dyDescent="0.25">
      <c r="A28" s="17" t="s">
        <v>120</v>
      </c>
      <c r="B28" s="17" t="s">
        <v>119</v>
      </c>
      <c r="C28" s="19">
        <v>3</v>
      </c>
    </row>
    <row r="29" spans="1:3" x14ac:dyDescent="0.25">
      <c r="A29" s="17"/>
      <c r="B29" s="17"/>
      <c r="C29" s="19"/>
    </row>
    <row r="30" spans="1:3" x14ac:dyDescent="0.25">
      <c r="A30" s="24" t="s">
        <v>121</v>
      </c>
      <c r="B30" s="17"/>
      <c r="C30" s="19"/>
    </row>
    <row r="31" spans="1:3" ht="15.75" x14ac:dyDescent="0.25">
      <c r="A31" s="17" t="s">
        <v>177</v>
      </c>
      <c r="B31" s="17" t="s">
        <v>123</v>
      </c>
      <c r="C31" s="19">
        <v>17.5</v>
      </c>
    </row>
    <row r="32" spans="1:3" ht="15.75" x14ac:dyDescent="0.25">
      <c r="A32" s="17" t="s">
        <v>118</v>
      </c>
      <c r="B32" s="17" t="s">
        <v>123</v>
      </c>
      <c r="C32" s="19">
        <v>3.3</v>
      </c>
    </row>
    <row r="33" spans="1:3" ht="15.75" x14ac:dyDescent="0.25">
      <c r="A33" s="17" t="s">
        <v>120</v>
      </c>
      <c r="B33" s="17" t="s">
        <v>123</v>
      </c>
      <c r="C33" s="19">
        <v>6.5</v>
      </c>
    </row>
    <row r="34" spans="1:3" x14ac:dyDescent="0.25">
      <c r="A34" s="2" t="s">
        <v>952</v>
      </c>
    </row>
    <row r="35" spans="1:3" x14ac:dyDescent="0.25">
      <c r="A35" s="2" t="s">
        <v>1045</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J22"/>
  <sheetViews>
    <sheetView topLeftCell="D1" workbookViewId="0">
      <selection activeCell="O13" sqref="O13"/>
    </sheetView>
  </sheetViews>
  <sheetFormatPr defaultRowHeight="15" x14ac:dyDescent="0.25"/>
  <cols>
    <col min="1" max="1" width="8.42578125" bestFit="1" customWidth="1"/>
    <col min="2" max="2" width="33" bestFit="1" customWidth="1"/>
    <col min="3" max="3" width="23" customWidth="1"/>
    <col min="4" max="4" width="12.7109375" bestFit="1" customWidth="1"/>
    <col min="5" max="5" width="7.140625" customWidth="1"/>
    <col min="6" max="6" width="4" bestFit="1" customWidth="1"/>
    <col min="7" max="7" width="3.7109375" bestFit="1" customWidth="1"/>
    <col min="8" max="8" width="53.85546875" bestFit="1" customWidth="1"/>
  </cols>
  <sheetData>
    <row r="1" spans="1:10" x14ac:dyDescent="0.25">
      <c r="A1" s="12" t="s">
        <v>334</v>
      </c>
      <c r="B1" s="12" t="s">
        <v>332</v>
      </c>
      <c r="C1" s="12" t="s">
        <v>333</v>
      </c>
      <c r="D1" s="12" t="s">
        <v>335</v>
      </c>
      <c r="E1" s="38" t="s">
        <v>1020</v>
      </c>
      <c r="F1" s="38" t="s">
        <v>336</v>
      </c>
      <c r="G1" s="38" t="s">
        <v>337</v>
      </c>
      <c r="H1" s="12" t="s">
        <v>338</v>
      </c>
      <c r="I1" s="58"/>
      <c r="J1" s="54"/>
    </row>
    <row r="2" spans="1:10" x14ac:dyDescent="0.25">
      <c r="A2" s="6" t="s">
        <v>340</v>
      </c>
      <c r="B2" s="6" t="s">
        <v>339</v>
      </c>
      <c r="C2" s="6" t="s">
        <v>992</v>
      </c>
      <c r="D2" s="6" t="s">
        <v>341</v>
      </c>
      <c r="E2" s="42" t="s">
        <v>342</v>
      </c>
      <c r="F2" s="42" t="s">
        <v>342</v>
      </c>
      <c r="G2" s="42" t="s">
        <v>342</v>
      </c>
      <c r="H2" s="6" t="s">
        <v>343</v>
      </c>
    </row>
    <row r="3" spans="1:10" x14ac:dyDescent="0.25">
      <c r="A3" s="6" t="s">
        <v>340</v>
      </c>
      <c r="B3" s="6" t="s">
        <v>339</v>
      </c>
      <c r="C3" s="6" t="s">
        <v>985</v>
      </c>
      <c r="D3" s="6" t="s">
        <v>341</v>
      </c>
      <c r="E3" s="42">
        <v>0</v>
      </c>
      <c r="F3" s="42">
        <v>0</v>
      </c>
      <c r="G3" s="42">
        <v>0</v>
      </c>
      <c r="H3" s="6" t="s">
        <v>344</v>
      </c>
    </row>
    <row r="4" spans="1:10" x14ac:dyDescent="0.25">
      <c r="A4" s="6" t="s">
        <v>340</v>
      </c>
      <c r="B4" s="6" t="s">
        <v>345</v>
      </c>
      <c r="C4" s="6" t="s">
        <v>993</v>
      </c>
      <c r="D4" s="6" t="s">
        <v>341</v>
      </c>
      <c r="E4" s="42">
        <v>5</v>
      </c>
      <c r="F4" s="42">
        <v>0</v>
      </c>
      <c r="G4" s="42">
        <v>17</v>
      </c>
      <c r="H4" s="6" t="s">
        <v>953</v>
      </c>
    </row>
    <row r="5" spans="1:10" x14ac:dyDescent="0.25">
      <c r="A5" s="6" t="s">
        <v>340</v>
      </c>
      <c r="B5" s="6" t="s">
        <v>346</v>
      </c>
      <c r="C5" s="6" t="s">
        <v>994</v>
      </c>
      <c r="D5" s="6" t="s">
        <v>341</v>
      </c>
      <c r="E5" s="42">
        <v>7</v>
      </c>
      <c r="F5" s="42">
        <v>0</v>
      </c>
      <c r="G5" s="42">
        <v>34</v>
      </c>
      <c r="H5" s="6" t="s">
        <v>954</v>
      </c>
    </row>
    <row r="6" spans="1:10" x14ac:dyDescent="0.25">
      <c r="A6" s="6" t="s">
        <v>340</v>
      </c>
      <c r="B6" s="6" t="s">
        <v>347</v>
      </c>
      <c r="C6" s="6" t="s">
        <v>987</v>
      </c>
      <c r="D6" s="6" t="s">
        <v>341</v>
      </c>
      <c r="E6" s="42">
        <v>1</v>
      </c>
      <c r="F6" s="42">
        <v>0</v>
      </c>
      <c r="G6" s="42">
        <v>2</v>
      </c>
      <c r="H6" s="6" t="s">
        <v>954</v>
      </c>
    </row>
    <row r="7" spans="1:10" x14ac:dyDescent="0.25">
      <c r="A7" s="6" t="s">
        <v>340</v>
      </c>
      <c r="B7" s="6" t="s">
        <v>348</v>
      </c>
      <c r="C7" s="6" t="s">
        <v>990</v>
      </c>
      <c r="D7" s="6" t="s">
        <v>341</v>
      </c>
      <c r="E7" s="42">
        <v>0</v>
      </c>
      <c r="F7" s="42">
        <v>0</v>
      </c>
      <c r="G7" s="42">
        <v>0</v>
      </c>
      <c r="H7" s="6" t="s">
        <v>344</v>
      </c>
    </row>
    <row r="8" spans="1:10" x14ac:dyDescent="0.25">
      <c r="A8" s="6" t="s">
        <v>340</v>
      </c>
      <c r="B8" s="6" t="s">
        <v>349</v>
      </c>
      <c r="C8" s="6" t="s">
        <v>991</v>
      </c>
      <c r="D8" s="6" t="s">
        <v>341</v>
      </c>
      <c r="E8" s="42">
        <v>0</v>
      </c>
      <c r="F8" s="42">
        <v>0</v>
      </c>
      <c r="G8" s="42">
        <v>0</v>
      </c>
      <c r="H8" s="55" t="s">
        <v>350</v>
      </c>
    </row>
    <row r="9" spans="1:10" x14ac:dyDescent="0.25">
      <c r="A9" s="56" t="s">
        <v>351</v>
      </c>
      <c r="B9" s="56" t="s">
        <v>339</v>
      </c>
      <c r="C9" s="6" t="s">
        <v>992</v>
      </c>
      <c r="D9" s="56" t="s">
        <v>352</v>
      </c>
      <c r="E9" s="57" t="s">
        <v>342</v>
      </c>
      <c r="F9" s="57" t="s">
        <v>342</v>
      </c>
      <c r="G9" s="57" t="s">
        <v>342</v>
      </c>
      <c r="H9" s="56" t="s">
        <v>353</v>
      </c>
    </row>
    <row r="10" spans="1:10" x14ac:dyDescent="0.25">
      <c r="A10" s="56" t="s">
        <v>351</v>
      </c>
      <c r="B10" s="56" t="s">
        <v>339</v>
      </c>
      <c r="C10" s="6" t="s">
        <v>985</v>
      </c>
      <c r="D10" s="56" t="s">
        <v>352</v>
      </c>
      <c r="E10" s="57">
        <v>0</v>
      </c>
      <c r="F10" s="57">
        <v>0</v>
      </c>
      <c r="G10" s="57">
        <v>0</v>
      </c>
      <c r="H10" s="56" t="s">
        <v>344</v>
      </c>
    </row>
    <row r="11" spans="1:10" x14ac:dyDescent="0.25">
      <c r="A11" s="56" t="s">
        <v>351</v>
      </c>
      <c r="B11" s="56" t="s">
        <v>354</v>
      </c>
      <c r="C11" s="6" t="s">
        <v>993</v>
      </c>
      <c r="D11" s="56" t="s">
        <v>352</v>
      </c>
      <c r="E11" s="57">
        <v>0.2</v>
      </c>
      <c r="F11" s="57">
        <v>0</v>
      </c>
      <c r="G11" s="57">
        <v>0.5</v>
      </c>
      <c r="H11" s="6" t="s">
        <v>953</v>
      </c>
    </row>
    <row r="12" spans="1:10" x14ac:dyDescent="0.25">
      <c r="A12" s="56" t="s">
        <v>351</v>
      </c>
      <c r="B12" s="56" t="s">
        <v>346</v>
      </c>
      <c r="C12" s="6" t="s">
        <v>994</v>
      </c>
      <c r="D12" s="56" t="s">
        <v>352</v>
      </c>
      <c r="E12" s="57">
        <v>0.2</v>
      </c>
      <c r="F12" s="57">
        <v>0</v>
      </c>
      <c r="G12" s="57">
        <v>1</v>
      </c>
      <c r="H12" s="56" t="s">
        <v>956</v>
      </c>
    </row>
    <row r="13" spans="1:10" x14ac:dyDescent="0.25">
      <c r="A13" s="56" t="s">
        <v>351</v>
      </c>
      <c r="B13" s="56" t="s">
        <v>347</v>
      </c>
      <c r="C13" s="6" t="s">
        <v>987</v>
      </c>
      <c r="D13" s="56" t="s">
        <v>352</v>
      </c>
      <c r="E13" s="57">
        <v>0.5</v>
      </c>
      <c r="F13" s="57">
        <v>0</v>
      </c>
      <c r="G13" s="57">
        <v>1.7</v>
      </c>
      <c r="H13" s="56" t="s">
        <v>955</v>
      </c>
    </row>
    <row r="14" spans="1:10" x14ac:dyDescent="0.25">
      <c r="A14" s="56" t="s">
        <v>351</v>
      </c>
      <c r="B14" s="56" t="s">
        <v>348</v>
      </c>
      <c r="C14" s="6" t="s">
        <v>990</v>
      </c>
      <c r="D14" s="56" t="s">
        <v>352</v>
      </c>
      <c r="E14" s="57">
        <v>0</v>
      </c>
      <c r="F14" s="57">
        <v>0</v>
      </c>
      <c r="G14" s="57">
        <v>0</v>
      </c>
      <c r="H14" s="56" t="s">
        <v>344</v>
      </c>
    </row>
    <row r="15" spans="1:10" x14ac:dyDescent="0.25">
      <c r="A15" s="56" t="s">
        <v>351</v>
      </c>
      <c r="B15" s="56" t="s">
        <v>349</v>
      </c>
      <c r="C15" s="6" t="s">
        <v>991</v>
      </c>
      <c r="D15" s="56" t="s">
        <v>352</v>
      </c>
      <c r="E15" s="57">
        <v>0</v>
      </c>
      <c r="F15" s="57">
        <v>0</v>
      </c>
      <c r="G15" s="57">
        <v>0</v>
      </c>
      <c r="H15" s="56" t="s">
        <v>350</v>
      </c>
    </row>
    <row r="16" spans="1:10" x14ac:dyDescent="0.25">
      <c r="A16" s="56" t="s">
        <v>355</v>
      </c>
      <c r="B16" s="56" t="s">
        <v>339</v>
      </c>
      <c r="C16" s="6" t="s">
        <v>992</v>
      </c>
      <c r="D16" s="56" t="s">
        <v>352</v>
      </c>
      <c r="E16" s="57" t="s">
        <v>342</v>
      </c>
      <c r="F16" s="57" t="s">
        <v>342</v>
      </c>
      <c r="G16" s="57" t="s">
        <v>342</v>
      </c>
      <c r="H16" s="59" t="s">
        <v>342</v>
      </c>
    </row>
    <row r="17" spans="1:8" x14ac:dyDescent="0.25">
      <c r="A17" s="6" t="s">
        <v>355</v>
      </c>
      <c r="B17" s="6" t="s">
        <v>339</v>
      </c>
      <c r="C17" s="6" t="s">
        <v>985</v>
      </c>
      <c r="D17" s="6" t="s">
        <v>352</v>
      </c>
      <c r="E17" s="42">
        <v>0</v>
      </c>
      <c r="F17" s="42">
        <v>0</v>
      </c>
      <c r="G17" s="42">
        <v>0</v>
      </c>
      <c r="H17" s="6" t="s">
        <v>356</v>
      </c>
    </row>
    <row r="18" spans="1:8" x14ac:dyDescent="0.25">
      <c r="A18" s="6" t="s">
        <v>355</v>
      </c>
      <c r="B18" s="6" t="s">
        <v>354</v>
      </c>
      <c r="C18" s="6" t="s">
        <v>993</v>
      </c>
      <c r="D18" s="6" t="s">
        <v>352</v>
      </c>
      <c r="E18" s="42">
        <v>0.5</v>
      </c>
      <c r="F18" s="42">
        <v>0</v>
      </c>
      <c r="G18" s="42">
        <v>2</v>
      </c>
      <c r="H18" s="6" t="s">
        <v>957</v>
      </c>
    </row>
    <row r="19" spans="1:8" x14ac:dyDescent="0.25">
      <c r="A19" s="6" t="s">
        <v>355</v>
      </c>
      <c r="B19" s="6" t="s">
        <v>346</v>
      </c>
      <c r="C19" s="6" t="s">
        <v>994</v>
      </c>
      <c r="D19" s="6" t="s">
        <v>352</v>
      </c>
      <c r="E19" s="42">
        <v>0.5</v>
      </c>
      <c r="F19" s="42">
        <v>0</v>
      </c>
      <c r="G19" s="42">
        <v>2</v>
      </c>
      <c r="H19" s="6" t="s">
        <v>958</v>
      </c>
    </row>
    <row r="20" spans="1:8" x14ac:dyDescent="0.25">
      <c r="A20" s="6" t="s">
        <v>355</v>
      </c>
      <c r="B20" s="6" t="s">
        <v>347</v>
      </c>
      <c r="C20" s="6" t="s">
        <v>987</v>
      </c>
      <c r="D20" s="6" t="s">
        <v>352</v>
      </c>
      <c r="E20" s="42">
        <v>3.6</v>
      </c>
      <c r="F20" s="42">
        <v>2</v>
      </c>
      <c r="G20" s="42">
        <v>8</v>
      </c>
      <c r="H20" s="6" t="s">
        <v>959</v>
      </c>
    </row>
    <row r="21" spans="1:8" x14ac:dyDescent="0.25">
      <c r="A21" s="6" t="s">
        <v>355</v>
      </c>
      <c r="B21" s="6" t="s">
        <v>348</v>
      </c>
      <c r="C21" s="6" t="s">
        <v>990</v>
      </c>
      <c r="D21" s="6" t="s">
        <v>352</v>
      </c>
      <c r="E21" s="42">
        <v>0</v>
      </c>
      <c r="F21" s="42">
        <v>0</v>
      </c>
      <c r="G21" s="42">
        <v>0</v>
      </c>
      <c r="H21" s="6" t="s">
        <v>344</v>
      </c>
    </row>
    <row r="22" spans="1:8" x14ac:dyDescent="0.25">
      <c r="A22" s="6" t="s">
        <v>355</v>
      </c>
      <c r="B22" s="6" t="s">
        <v>349</v>
      </c>
      <c r="C22" s="6" t="s">
        <v>991</v>
      </c>
      <c r="D22" s="6" t="s">
        <v>352</v>
      </c>
      <c r="E22" s="42">
        <v>0</v>
      </c>
      <c r="F22" s="42">
        <v>0</v>
      </c>
      <c r="G22" s="42">
        <v>0</v>
      </c>
      <c r="H22" s="55" t="s">
        <v>350</v>
      </c>
    </row>
  </sheetData>
  <pageMargins left="0.7" right="0.7" top="0.75" bottom="0.75" header="0.3" footer="0.3"/>
  <pageSetup paperSize="9"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E31"/>
  <sheetViews>
    <sheetView workbookViewId="0">
      <selection activeCell="I13" sqref="I13"/>
    </sheetView>
  </sheetViews>
  <sheetFormatPr defaultRowHeight="15" x14ac:dyDescent="0.25"/>
  <cols>
    <col min="1" max="1" width="34.28515625" bestFit="1" customWidth="1"/>
    <col min="2" max="2" width="8.7109375" bestFit="1" customWidth="1"/>
    <col min="3" max="3" width="49.42578125" bestFit="1" customWidth="1"/>
    <col min="4" max="4" width="8" bestFit="1" customWidth="1"/>
    <col min="5" max="5" width="11.7109375" bestFit="1" customWidth="1"/>
  </cols>
  <sheetData>
    <row r="1" spans="1:5" x14ac:dyDescent="0.25">
      <c r="A1" s="29" t="s">
        <v>280</v>
      </c>
      <c r="B1" s="29" t="s">
        <v>40</v>
      </c>
      <c r="C1" s="32" t="s">
        <v>281</v>
      </c>
      <c r="D1" s="29" t="s">
        <v>282</v>
      </c>
      <c r="E1" s="33" t="s">
        <v>283</v>
      </c>
    </row>
    <row r="2" spans="1:5" ht="15.75" x14ac:dyDescent="0.25">
      <c r="A2" s="17" t="s">
        <v>78</v>
      </c>
      <c r="B2" s="17" t="s">
        <v>284</v>
      </c>
      <c r="C2" s="34" t="s">
        <v>285</v>
      </c>
      <c r="D2" s="17">
        <v>1</v>
      </c>
      <c r="E2" s="34" t="s">
        <v>825</v>
      </c>
    </row>
    <row r="3" spans="1:5" ht="15.75" x14ac:dyDescent="0.25">
      <c r="A3" s="17" t="s">
        <v>286</v>
      </c>
      <c r="B3" s="17" t="s">
        <v>284</v>
      </c>
      <c r="C3" s="34" t="s">
        <v>287</v>
      </c>
      <c r="D3" s="17">
        <v>0.61</v>
      </c>
      <c r="E3" s="34" t="s">
        <v>826</v>
      </c>
    </row>
    <row r="4" spans="1:5" ht="15.75" x14ac:dyDescent="0.25">
      <c r="A4" s="17" t="s">
        <v>81</v>
      </c>
      <c r="B4" s="17" t="s">
        <v>284</v>
      </c>
      <c r="C4" s="34" t="s">
        <v>288</v>
      </c>
      <c r="D4" s="17">
        <v>0.09</v>
      </c>
      <c r="E4" s="34" t="s">
        <v>827</v>
      </c>
    </row>
    <row r="5" spans="1:5" ht="15.75" x14ac:dyDescent="0.25">
      <c r="A5" s="17" t="s">
        <v>289</v>
      </c>
      <c r="B5" s="17" t="s">
        <v>284</v>
      </c>
      <c r="C5" s="34" t="s">
        <v>290</v>
      </c>
      <c r="D5" s="17">
        <v>0.11</v>
      </c>
      <c r="E5" s="34" t="s">
        <v>827</v>
      </c>
    </row>
    <row r="6" spans="1:5" ht="15.75" x14ac:dyDescent="0.25">
      <c r="A6" s="17" t="s">
        <v>80</v>
      </c>
      <c r="B6" s="17" t="s">
        <v>284</v>
      </c>
      <c r="C6" s="35" t="s">
        <v>291</v>
      </c>
      <c r="D6" s="17">
        <v>0.11</v>
      </c>
      <c r="E6" s="34" t="s">
        <v>827</v>
      </c>
    </row>
    <row r="7" spans="1:5" ht="15.75" x14ac:dyDescent="0.25">
      <c r="A7" s="17" t="s">
        <v>292</v>
      </c>
      <c r="B7" s="17" t="s">
        <v>293</v>
      </c>
      <c r="C7" s="34" t="s">
        <v>294</v>
      </c>
      <c r="D7" s="17">
        <v>1.1599999999999999</v>
      </c>
      <c r="E7" s="34" t="s">
        <v>828</v>
      </c>
    </row>
    <row r="8" spans="1:5" ht="15.75" x14ac:dyDescent="0.25">
      <c r="A8" s="17" t="s">
        <v>295</v>
      </c>
      <c r="B8" s="17" t="s">
        <v>296</v>
      </c>
      <c r="C8" s="34" t="s">
        <v>297</v>
      </c>
      <c r="D8" s="17">
        <v>0.09</v>
      </c>
      <c r="E8" s="34" t="s">
        <v>829</v>
      </c>
    </row>
    <row r="9" spans="1:5" ht="15.75" x14ac:dyDescent="0.25">
      <c r="A9" s="17" t="s">
        <v>163</v>
      </c>
      <c r="B9" s="17" t="s">
        <v>284</v>
      </c>
      <c r="C9" s="34" t="s">
        <v>298</v>
      </c>
      <c r="D9" s="17">
        <v>0.13</v>
      </c>
      <c r="E9" s="34" t="s">
        <v>965</v>
      </c>
    </row>
    <row r="10" spans="1:5" ht="15.75" x14ac:dyDescent="0.25">
      <c r="A10" s="17" t="s">
        <v>85</v>
      </c>
      <c r="B10" s="17" t="s">
        <v>284</v>
      </c>
      <c r="C10" s="34" t="s">
        <v>299</v>
      </c>
      <c r="D10" s="17">
        <v>0.02</v>
      </c>
      <c r="E10" s="34" t="s">
        <v>968</v>
      </c>
    </row>
    <row r="11" spans="1:5" ht="15.75" x14ac:dyDescent="0.25">
      <c r="A11" s="17" t="s">
        <v>86</v>
      </c>
      <c r="B11" s="17" t="s">
        <v>284</v>
      </c>
      <c r="C11" s="34" t="s">
        <v>300</v>
      </c>
      <c r="D11" s="17">
        <v>0.04</v>
      </c>
      <c r="E11" s="34" t="s">
        <v>967</v>
      </c>
    </row>
    <row r="12" spans="1:5" ht="15.75" x14ac:dyDescent="0.25">
      <c r="A12" s="17" t="s">
        <v>301</v>
      </c>
      <c r="B12" s="17" t="s">
        <v>296</v>
      </c>
      <c r="C12" s="34" t="s">
        <v>302</v>
      </c>
      <c r="D12" s="17">
        <v>7.0000000000000007E-2</v>
      </c>
      <c r="E12" s="34" t="s">
        <v>966</v>
      </c>
    </row>
    <row r="13" spans="1:5" ht="15.75" x14ac:dyDescent="0.25">
      <c r="A13" s="17" t="s">
        <v>303</v>
      </c>
      <c r="B13" s="17" t="s">
        <v>304</v>
      </c>
      <c r="C13" s="34" t="s">
        <v>305</v>
      </c>
      <c r="D13" s="17">
        <v>0.51</v>
      </c>
      <c r="E13" s="34" t="s">
        <v>829</v>
      </c>
    </row>
    <row r="14" spans="1:5" ht="15.75" x14ac:dyDescent="0.25">
      <c r="A14" s="17" t="s">
        <v>306</v>
      </c>
      <c r="B14" s="17" t="s">
        <v>284</v>
      </c>
      <c r="C14" s="34" t="s">
        <v>307</v>
      </c>
      <c r="D14" s="17">
        <v>0.23</v>
      </c>
      <c r="E14" s="34" t="s">
        <v>830</v>
      </c>
    </row>
    <row r="15" spans="1:5" ht="15.75" x14ac:dyDescent="0.25">
      <c r="A15" s="17" t="s">
        <v>308</v>
      </c>
      <c r="B15" s="17" t="s">
        <v>309</v>
      </c>
      <c r="C15" s="34" t="s">
        <v>274</v>
      </c>
      <c r="D15" s="17">
        <v>33.299999999999997</v>
      </c>
      <c r="E15" s="34" t="s">
        <v>829</v>
      </c>
    </row>
    <row r="16" spans="1:5" ht="15.75" x14ac:dyDescent="0.25">
      <c r="A16" s="17" t="s">
        <v>89</v>
      </c>
      <c r="B16" s="17" t="s">
        <v>284</v>
      </c>
      <c r="C16" s="34" t="s">
        <v>310</v>
      </c>
      <c r="D16" s="17">
        <v>2.0499999999999998</v>
      </c>
      <c r="E16" s="34" t="s">
        <v>825</v>
      </c>
    </row>
    <row r="17" spans="1:5" ht="15.75" x14ac:dyDescent="0.25">
      <c r="A17" s="17" t="s">
        <v>311</v>
      </c>
      <c r="B17" s="17" t="s">
        <v>284</v>
      </c>
      <c r="C17" s="34" t="s">
        <v>312</v>
      </c>
      <c r="D17" s="17">
        <v>0.68</v>
      </c>
      <c r="E17" s="34" t="s">
        <v>831</v>
      </c>
    </row>
    <row r="18" spans="1:5" ht="15.75" x14ac:dyDescent="0.25">
      <c r="A18" s="17" t="s">
        <v>90</v>
      </c>
      <c r="B18" s="17" t="s">
        <v>284</v>
      </c>
      <c r="C18" s="34" t="s">
        <v>313</v>
      </c>
      <c r="D18" s="17">
        <v>8.0000000000000002E-3</v>
      </c>
      <c r="E18" s="34" t="s">
        <v>831</v>
      </c>
    </row>
    <row r="19" spans="1:5" ht="15.75" x14ac:dyDescent="0.25">
      <c r="A19" s="17" t="s">
        <v>91</v>
      </c>
      <c r="B19" s="17" t="s">
        <v>284</v>
      </c>
      <c r="C19" s="34" t="s">
        <v>314</v>
      </c>
      <c r="D19" s="17">
        <v>0.34</v>
      </c>
      <c r="E19" s="34" t="s">
        <v>826</v>
      </c>
    </row>
    <row r="20" spans="1:5" ht="15.75" x14ac:dyDescent="0.25">
      <c r="A20" s="17" t="s">
        <v>161</v>
      </c>
      <c r="B20" s="17" t="s">
        <v>284</v>
      </c>
      <c r="C20" s="34" t="s">
        <v>315</v>
      </c>
      <c r="D20" s="17">
        <v>0.13</v>
      </c>
      <c r="E20" s="34" t="s">
        <v>832</v>
      </c>
    </row>
    <row r="21" spans="1:5" ht="15.75" x14ac:dyDescent="0.25">
      <c r="A21" s="17" t="s">
        <v>316</v>
      </c>
      <c r="B21" s="17" t="s">
        <v>304</v>
      </c>
      <c r="C21" s="34" t="s">
        <v>317</v>
      </c>
      <c r="D21" s="17">
        <v>0.01</v>
      </c>
      <c r="E21" s="34" t="s">
        <v>829</v>
      </c>
    </row>
    <row r="22" spans="1:5" ht="15.75" x14ac:dyDescent="0.25">
      <c r="A22" s="17" t="s">
        <v>93</v>
      </c>
      <c r="B22" s="17" t="s">
        <v>284</v>
      </c>
      <c r="C22" s="34" t="s">
        <v>318</v>
      </c>
      <c r="D22" s="17">
        <v>0.28999999999999998</v>
      </c>
      <c r="E22" s="34" t="s">
        <v>830</v>
      </c>
    </row>
    <row r="23" spans="1:5" ht="15.75" x14ac:dyDescent="0.25">
      <c r="A23" s="17" t="s">
        <v>319</v>
      </c>
      <c r="B23" s="17" t="s">
        <v>284</v>
      </c>
      <c r="C23" s="34" t="s">
        <v>969</v>
      </c>
      <c r="D23" s="17">
        <v>0.53</v>
      </c>
      <c r="E23" s="82" t="s">
        <v>970</v>
      </c>
    </row>
    <row r="24" spans="1:5" ht="15.75" x14ac:dyDescent="0.25">
      <c r="A24" s="17" t="s">
        <v>320</v>
      </c>
      <c r="B24" s="17" t="s">
        <v>284</v>
      </c>
      <c r="C24" s="34" t="s">
        <v>971</v>
      </c>
      <c r="D24" s="17">
        <v>0.52</v>
      </c>
      <c r="E24" s="82" t="s">
        <v>834</v>
      </c>
    </row>
    <row r="25" spans="1:5" ht="15.75" x14ac:dyDescent="0.25">
      <c r="A25" s="17" t="s">
        <v>23</v>
      </c>
      <c r="B25" s="17" t="s">
        <v>284</v>
      </c>
      <c r="C25" s="34" t="s">
        <v>321</v>
      </c>
      <c r="D25" s="17">
        <v>0.02</v>
      </c>
      <c r="E25" s="34" t="s">
        <v>833</v>
      </c>
    </row>
    <row r="26" spans="1:5" ht="15.75" x14ac:dyDescent="0.25">
      <c r="A26" s="17" t="s">
        <v>322</v>
      </c>
      <c r="B26" s="17" t="s">
        <v>284</v>
      </c>
      <c r="C26" s="34" t="s">
        <v>323</v>
      </c>
      <c r="D26" s="17">
        <v>0.13</v>
      </c>
      <c r="E26" s="34" t="s">
        <v>960</v>
      </c>
    </row>
    <row r="27" spans="1:5" ht="15.75" x14ac:dyDescent="0.25">
      <c r="A27" s="17" t="s">
        <v>324</v>
      </c>
      <c r="B27" s="17" t="s">
        <v>284</v>
      </c>
      <c r="C27" s="34" t="s">
        <v>325</v>
      </c>
      <c r="D27" s="17">
        <v>0.09</v>
      </c>
      <c r="E27" s="34" t="s">
        <v>961</v>
      </c>
    </row>
    <row r="28" spans="1:5" ht="15.75" x14ac:dyDescent="0.25">
      <c r="A28" s="17" t="s">
        <v>326</v>
      </c>
      <c r="B28" s="17" t="s">
        <v>284</v>
      </c>
      <c r="C28" s="34" t="s">
        <v>327</v>
      </c>
      <c r="D28" s="17">
        <v>0.02</v>
      </c>
      <c r="E28" s="34" t="s">
        <v>961</v>
      </c>
    </row>
    <row r="29" spans="1:5" ht="15.75" x14ac:dyDescent="0.25">
      <c r="A29" s="17" t="s">
        <v>328</v>
      </c>
      <c r="B29" s="17" t="s">
        <v>284</v>
      </c>
      <c r="C29" s="34" t="s">
        <v>298</v>
      </c>
      <c r="D29" s="17">
        <v>3.0000000000000001E-3</v>
      </c>
      <c r="E29" s="34" t="s">
        <v>962</v>
      </c>
    </row>
    <row r="30" spans="1:5" ht="15.75" x14ac:dyDescent="0.25">
      <c r="A30" s="17" t="s">
        <v>329</v>
      </c>
      <c r="B30" s="17" t="s">
        <v>284</v>
      </c>
      <c r="C30" s="34" t="s">
        <v>330</v>
      </c>
      <c r="D30" s="17">
        <v>0.41</v>
      </c>
      <c r="E30" s="34" t="s">
        <v>830</v>
      </c>
    </row>
    <row r="31" spans="1:5" ht="15.75" x14ac:dyDescent="0.25">
      <c r="A31" s="17" t="s">
        <v>50</v>
      </c>
      <c r="B31" s="17" t="s">
        <v>284</v>
      </c>
      <c r="C31" s="34" t="s">
        <v>331</v>
      </c>
      <c r="D31" s="17">
        <v>1.2999999999999999E-3</v>
      </c>
      <c r="E31" s="34" t="s">
        <v>963</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vt:i4>
      </vt:variant>
    </vt:vector>
  </HeadingPairs>
  <TitlesOfParts>
    <vt:vector size="21" baseType="lpstr">
      <vt:lpstr>Supplem.Table 1</vt:lpstr>
      <vt:lpstr>Supplem.Table 2</vt:lpstr>
      <vt:lpstr>Supplem.Table 3</vt:lpstr>
      <vt:lpstr>Supplem.Table 4</vt:lpstr>
      <vt:lpstr>Supplem.Table 5</vt:lpstr>
      <vt:lpstr>Supplem.Table 6</vt:lpstr>
      <vt:lpstr>Supplem.Table 7</vt:lpstr>
      <vt:lpstr>Supplem.Table 8</vt:lpstr>
      <vt:lpstr>Supplem.Table 9</vt:lpstr>
      <vt:lpstr>Supplem.Table 10</vt:lpstr>
      <vt:lpstr>Supplem.Table 11</vt:lpstr>
      <vt:lpstr>Supplem.Table 12</vt:lpstr>
      <vt:lpstr>Supplem.Table 13</vt:lpstr>
      <vt:lpstr>Supplem.Table 14</vt:lpstr>
      <vt:lpstr>Supplem.Table 15</vt:lpstr>
      <vt:lpstr>Supplem.Table 16</vt:lpstr>
      <vt:lpstr>Supplem.Table 17</vt:lpstr>
      <vt:lpstr>Supplem.Table 18</vt:lpstr>
      <vt:lpstr>Supplem.Table 19</vt:lpstr>
      <vt:lpstr>Supplem.Table 20</vt:lpstr>
      <vt:lpstr>'Supplem.Table 19'!OLE_LINK1</vt:lpstr>
    </vt:vector>
  </TitlesOfParts>
  <Company>European Commission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TONINI Davide (JRC-SEVILLA)</dc:creator>
  <cp:lastModifiedBy>HUYGENS Dries (JRC-SEVILLA)</cp:lastModifiedBy>
  <cp:lastPrinted>2019-03-12T15:42:55Z</cp:lastPrinted>
  <dcterms:created xsi:type="dcterms:W3CDTF">2019-03-01T10:03:30Z</dcterms:created>
  <dcterms:modified xsi:type="dcterms:W3CDTF">2019-09-11T15:39:03Z</dcterms:modified>
</cp:coreProperties>
</file>